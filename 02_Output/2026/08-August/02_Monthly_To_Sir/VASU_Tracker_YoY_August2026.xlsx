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305"/>
  </bookViews>
  <sheets>
    <sheet name="Dashboard" sheetId="1" r:id="rId1"/>
    <sheet name="Overall Summary" sheetId="2" r:id="rId2"/>
    <sheet name="Year on Year Analysis" sheetId="3" r:id="rId3"/>
    <sheet name="Monthly Metrics" sheetId="4" r:id="rId4"/>
    <sheet name="Latest Month" sheetId="5" r:id="rId5"/>
    <sheet name="Projects" sheetId="6" r:id="rId6"/>
    <sheet name="Quarterly Followup" sheetId="7" r:id="rId7"/>
  </sheets>
  <definedNames>
    <definedName name="_xlnm._FilterDatabase" localSheetId="5" hidden="1">Projects!$A$1:$I$176</definedName>
    <definedName name="_xlnm._FilterDatabase" localSheetId="6" hidden="1">'Quarterly Followup'!$A$1:$O$114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<sst xmlns="http://schemas.openxmlformats.org/spreadsheetml/2006/main" count="2394" uniqueCount="315">
  <si>
    <t>VASU's Project Tracker - August 2026</t>
  </si>
  <si>
    <t>Generated: September 18, 2026</t>
  </si>
  <si>
    <t>KEY METRICS</t>
  </si>
  <si>
    <t>Total Projects</t>
  </si>
  <si>
    <t>Completed</t>
  </si>
  <si>
    <t>Active</t>
  </si>
  <si>
    <t>Completion Rate</t>
  </si>
  <si>
    <t>Success Rate</t>
  </si>
  <si>
    <t>Avg Duration (Days)</t>
  </si>
  <si>
    <t>Followups Due This Month</t>
  </si>
  <si>
    <t>VASU's Tracker 2026 - Overall Summary</t>
  </si>
  <si>
    <t>As of: August 2026</t>
  </si>
  <si>
    <t>OVERALL PROJECT COUNTS</t>
  </si>
  <si>
    <t>Metric</t>
  </si>
  <si>
    <t>Count</t>
  </si>
  <si>
    <t>Formula Reference</t>
  </si>
  <si>
    <t>Percentage</t>
  </si>
  <si>
    <t>Total Allocations</t>
  </si>
  <si>
    <t>By Type</t>
  </si>
  <si>
    <t>Total Escalations</t>
  </si>
  <si>
    <t>Total Completed</t>
  </si>
  <si>
    <t>By Status</t>
  </si>
  <si>
    <t>Total Active</t>
  </si>
  <si>
    <t>Total Yet to Start</t>
  </si>
  <si>
    <t>Total Held Up</t>
  </si>
  <si>
    <t>Total Lost</t>
  </si>
  <si>
    <t>KEY PERFORMANCE INDICATORS</t>
  </si>
  <si>
    <t>KPI</t>
  </si>
  <si>
    <t>Value</t>
  </si>
  <si>
    <t>Description</t>
  </si>
  <si>
    <t/>
  </si>
  <si>
    <t>Projects Completed / Total</t>
  </si>
  <si>
    <t>(Total - Lost) / Total</t>
  </si>
  <si>
    <t>Active Project %</t>
  </si>
  <si>
    <t>Active / Total Projects</t>
  </si>
  <si>
    <t>Avg completion time</t>
  </si>
  <si>
    <t>YEAR ON YEAR ANALYSIS &amp; COMPARISON</t>
  </si>
  <si>
    <t>Same-period comparison through August 2026</t>
  </si>
  <si>
    <t>ANNUAL / YTD SUMMARY</t>
  </si>
  <si>
    <t>Year</t>
  </si>
  <si>
    <t>Period Covered</t>
  </si>
  <si>
    <t>Add Alloc</t>
  </si>
  <si>
    <t>Add Escal</t>
  </si>
  <si>
    <t>Total Additions</t>
  </si>
  <si>
    <t>Lost</t>
  </si>
  <si>
    <t>Held Up</t>
  </si>
  <si>
    <t>Closing Balance</t>
  </si>
  <si>
    <t>Jan-Dec</t>
  </si>
  <si>
    <t>Jan-Aug</t>
  </si>
  <si>
    <t>SAME-PERIOD YOY COMPARISON</t>
  </si>
  <si>
    <t>2025 Same Period</t>
  </si>
  <si>
    <t>2026 Same Period</t>
  </si>
  <si>
    <t>Change</t>
  </si>
  <si>
    <t>Change %</t>
  </si>
  <si>
    <t>Open Pipeline</t>
  </si>
  <si>
    <t>MANAGEMENT INSIGHTS</t>
  </si>
  <si>
    <t>August 2026 portfolio has 175 tracked projects with 113 completed.</t>
  </si>
  <si>
    <t>Same-period additions are down 35.6% versus last year; pipeline creation needs management focus.</t>
  </si>
  <si>
    <t>Same-period completions are up 35.9%; delivery performance is improving.</t>
  </si>
  <si>
    <t>Current completion rate is 64.6%; open pipeline is 39 projects.</t>
  </si>
  <si>
    <t>39 completed-client follow-ups are scheduled for this month to validate usage and capture issues.</t>
  </si>
  <si>
    <t>Monthly Project Tracking - Opening &amp; Closing Balance</t>
  </si>
  <si>
    <t>Logic: Closing = Opening + Additions - Completed - Lost - Held</t>
  </si>
  <si>
    <t>Month</t>
  </si>
  <si>
    <t>Opening</t>
  </si>
  <si>
    <t>Total Add</t>
  </si>
  <si>
    <t>Held</t>
  </si>
  <si>
    <t>Net Change</t>
  </si>
  <si>
    <t>Closing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</si>
  <si>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</si>
  <si>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</si>
  <si>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</si>
  <si>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</si>
  <si>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</si>
  <si>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</si>
  <si>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</si>
  <si>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</si>
  <si>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</si>
  <si>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</si>
  <si>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</si>
  <si>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</si>
  <si>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</si>
  <si>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</si>
  <si>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</si>
  <si>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</si>
  <si>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</si>
  <si>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</si>
  <si>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</si>
  <si>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</si>
  <si>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</si>
  <si>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TOTAL</t>
  </si>
  <si>
    <t>Latest Month Performance - 2026-08</t>
  </si>
  <si>
    <t>MONTH SUMMARY</t>
  </si>
  <si>
    <t>Details</t>
  </si>
  <si>
    <t>'2026-08</t>
  </si>
  <si>
    <t>Opening Balance</t>
  </si>
  <si>
    <t>Projects at start of month</t>
  </si>
  <si>
    <t>New Allocations</t>
  </si>
  <si>
    <t>New allocation projects</t>
  </si>
  <si>
    <t>New Escalations</t>
  </si>
  <si>
    <t>New escalation projects</t>
  </si>
  <si>
    <t>Total new projects</t>
  </si>
  <si>
    <t>Projects completed this month</t>
  </si>
  <si>
    <t>Projects lost this month</t>
  </si>
  <si>
    <t>Projects held this month</t>
  </si>
  <si>
    <t>Add - Comp - Lost - Held</t>
  </si>
  <si>
    <t>Projects at end of month</t>
  </si>
  <si>
    <t>Project Code</t>
  </si>
  <si>
    <t>Project Type</t>
  </si>
  <si>
    <t>Project Name</t>
  </si>
  <si>
    <t>Received From</t>
  </si>
  <si>
    <t>Start Date</t>
  </si>
  <si>
    <t>End Date</t>
  </si>
  <si>
    <t>Priority</t>
  </si>
  <si>
    <t>Status</t>
  </si>
  <si>
    <t>Duration</t>
  </si>
  <si>
    <t>Allocation</t>
  </si>
  <si>
    <t>TARASAFE INTERNATIONAL PRIVATE LIMITED_STAFF</t>
  </si>
  <si>
    <t>Schedule</t>
  </si>
  <si>
    <t>Low</t>
  </si>
  <si>
    <t>TARASAFE INTERNATIONAL PRIVATE LIMITED_WORKER</t>
  </si>
  <si>
    <t>Escalation</t>
  </si>
  <si>
    <t>Maharashtra Book Manufacturing</t>
  </si>
  <si>
    <t>PLASMA RESEARCH TRUST NX</t>
  </si>
  <si>
    <t>Bengal Energy_Staff</t>
  </si>
  <si>
    <t>Bengal Energy_Worker</t>
  </si>
  <si>
    <t>Parbhani Medical College</t>
  </si>
  <si>
    <t>Aquaair International Frieght Services</t>
  </si>
  <si>
    <t>Hardcarb Technologies Private Limited</t>
  </si>
  <si>
    <t>Maketing</t>
  </si>
  <si>
    <t>MADHUSUMAN ENTERPRISES (MSE)  HVAC SERVICES INDIA</t>
  </si>
  <si>
    <t>YUVA PARIVARTAN  KHERWADI SOCIAL WELFARE ASSOCIATION</t>
  </si>
  <si>
    <t>GCOM SYSTEMS AND SOLUTIONS (OUR LADY OF SALVATION)</t>
  </si>
  <si>
    <t>Metafab</t>
  </si>
  <si>
    <t>Texple</t>
  </si>
  <si>
    <t>ERMELLI PRIVATE LIMITED</t>
  </si>
  <si>
    <t>Helen Keller Institute for Deaf &amp; Blind</t>
  </si>
  <si>
    <t>Cartfire India</t>
  </si>
  <si>
    <t>Sky Prints</t>
  </si>
  <si>
    <t>Cogencis</t>
  </si>
  <si>
    <t>S K Traders</t>
  </si>
  <si>
    <t>SEEBA INDUSTRIES PRIVATE LIMITED</t>
  </si>
  <si>
    <t>Infexn Laboratories</t>
  </si>
  <si>
    <t>Sankalpan</t>
  </si>
  <si>
    <t>Emmay Entertainment</t>
  </si>
  <si>
    <t>INDIANA GROUP / INDIANA GRATINGS PRIVATE LIMITED</t>
  </si>
  <si>
    <t>RADIX ELECTROSYSTEMS PVT LTD</t>
  </si>
  <si>
    <t>MARU CONSULTANCY SERVICES</t>
  </si>
  <si>
    <t>SHREE RAMDEV METALEX LLP / RAMDEV GROUP</t>
  </si>
  <si>
    <t>APLAB LIMITED (FOR STAFF LICENSE)</t>
  </si>
  <si>
    <t>APLAB LIMITED (FOR CONTRACT LICENSE)</t>
  </si>
  <si>
    <t>NPSE AUTOMATION PVT. LTD</t>
  </si>
  <si>
    <t>ANM INDUSTRIES PVT LTD / ANM ALLIANCE / ANM GROUP/ AMKETTE ANALYTICS LTD.</t>
  </si>
  <si>
    <t>KARVY TECHNOLOGIES PVT LTD</t>
  </si>
  <si>
    <t>QUALIGENS PHARMA PVT. LTD</t>
  </si>
  <si>
    <t>MADURA INDUSTRIAL TEXTILES LIMITED</t>
  </si>
  <si>
    <t>BIJJARGI MOTORS PVT LTD / BIJJARGI MOTORS / BIJJARGI EXCAVATION SOLUTIONS</t>
  </si>
  <si>
    <t>STEAM PULSE INDIA PVT LTD</t>
  </si>
  <si>
    <t>STEAM HARBOUR LOGISTICS PVT LTD</t>
  </si>
  <si>
    <t>GUJARAT TEA PROCESSOR &amp; PACKERS LTD</t>
  </si>
  <si>
    <t>INDUSTRIAL X-RAY &amp; ALLIED RADIOGRAPHERS NX</t>
  </si>
  <si>
    <t>TATARIA HARDWARE INNOVATION</t>
  </si>
  <si>
    <t>THE NATIONAL SPORTS CLUB OF INDIA</t>
  </si>
  <si>
    <t>EROS ELEVATORS &amp; ESCALATORS PVT LTD</t>
  </si>
  <si>
    <t>ELECTROSTEEL CASTINGS LTD / ELECTROSTEEL GROUP</t>
  </si>
  <si>
    <t>SAI SANKET INDUSTRIES PVT.LTD</t>
  </si>
  <si>
    <t>LOTUS TEXCOM INDIA LLP</t>
  </si>
  <si>
    <t>BRILLIANT POLYMERS PVT. LTD</t>
  </si>
  <si>
    <t>AUTOTECH-SIRMAX INDIA PVT LTD</t>
  </si>
  <si>
    <t>TAO AUTOMATION SERVICES PVT LTD</t>
  </si>
  <si>
    <t>BASANT OVERSEAS</t>
  </si>
  <si>
    <t>POONAM ROLLER FLOUR MILLS PRIVATE LIMITED</t>
  </si>
  <si>
    <t>CR</t>
  </si>
  <si>
    <t>SNAPWORK TECHNOLOGIES PVT LTD</t>
  </si>
  <si>
    <t>Royal Chains Pvt. Ltd. and Royal Italian Jewelry Pvt. Ltd.</t>
  </si>
  <si>
    <t>BRIGHT BROTHERS LTD. / BRITE</t>
  </si>
  <si>
    <t>ARMITA INDIA SHIPPING PVT. LTD</t>
  </si>
  <si>
    <t>PRECIOUS ALLOYS PRIVATE LIMITED</t>
  </si>
  <si>
    <t>SUKHKARTA MULTISPECIALITY HOSPITAL</t>
  </si>
  <si>
    <t>ONETEAM LOGISTICS INDIA PRIVATE LIMITED</t>
  </si>
  <si>
    <t>GOLDSTAR ELITE JEWELS PRIVATE LIMITED</t>
  </si>
  <si>
    <t>SAINI ELECTRICAL &amp; ENGINEERING WORKS</t>
  </si>
  <si>
    <t>GNG ELECTRONICS LIMITED STAFF</t>
  </si>
  <si>
    <t>GNG ELECTRONICS LIMITED FACTORY</t>
  </si>
  <si>
    <t>ALLIED INSTRUMENTS PRIVATE LIMITED</t>
  </si>
  <si>
    <t>MESPACK INDIA PVT. LTD</t>
  </si>
  <si>
    <t>UNITED AIR EXPRESS</t>
  </si>
  <si>
    <t>Kuboz Arc Pvt Ltd</t>
  </si>
  <si>
    <t>ISA Logistics Private Limited</t>
  </si>
  <si>
    <t>SEVENTY SEVEN ENTERTAINMENT PVT. LTD</t>
  </si>
  <si>
    <t>Support</t>
  </si>
  <si>
    <t>ANSHUTECH AIR CONDITIONING PVT. LTD. NX</t>
  </si>
  <si>
    <t>CONTENDRE GREENERGY LIMITED</t>
  </si>
  <si>
    <t>ILEAF RITZ BANQUETS</t>
  </si>
  <si>
    <t>ROYAL EMBROIDERY THREADS PVT.LTD.</t>
  </si>
  <si>
    <t>V ALLIANCE NX</t>
  </si>
  <si>
    <t>ESCON ELEVATORS PVT. LTD.</t>
  </si>
  <si>
    <t>TRISHUL ELECTROMECH ENGINEERING INDIA PVT.LTD. / TRISHUL GROUP</t>
  </si>
  <si>
    <t>SVS ENGINEERING / RAMYASRI ELECTRICAL AUTOMATION</t>
  </si>
  <si>
    <t>FFSERVICES PRIVATE LIMITED</t>
  </si>
  <si>
    <t>PRASAD JEWELLERS</t>
  </si>
  <si>
    <t>SETHWALA FOODS LTD</t>
  </si>
  <si>
    <t>NATIONAL BULK HANDLING CORPORATION PRIVATE LIMITED</t>
  </si>
  <si>
    <t>MAHWS OILFIELD SERVICES PRIVATE LIMITED</t>
  </si>
  <si>
    <t>FUJIYAMA POWER SYSTEM (UTL)</t>
  </si>
  <si>
    <t>VABA</t>
  </si>
  <si>
    <t>KISHAN LAL PAWAN KUMAR JAIN</t>
  </si>
  <si>
    <t>MICROPOINT COMPUTERS PRIVATE LIMITED NX</t>
  </si>
  <si>
    <t>TORQUE INSURANCE BROKING PRIVATE LIMITED</t>
  </si>
  <si>
    <t>POLMOR STEEL PRIVATE LIMITED</t>
  </si>
  <si>
    <t>ACEY ENGINEERING PVT. LTD</t>
  </si>
  <si>
    <t>ATHARVA FACILITY MANAGEMENT AND SECURITY</t>
  </si>
  <si>
    <t>MEDIPULSE HOSPITAL</t>
  </si>
  <si>
    <t>PARADISE GROUP</t>
  </si>
  <si>
    <t>DRS EARTHWORK PRIVATE LIMITED</t>
  </si>
  <si>
    <t>CENTRE FOR URBANIZATION BUILDINGS AND ENVIRONMENT (CUBE IITM)</t>
  </si>
  <si>
    <t>PISCES CONTAINER LINES INDIA PVT. LTD.</t>
  </si>
  <si>
    <t>AUROUS JEWELS LLP</t>
  </si>
  <si>
    <t>HARDCARB TECHNOLOGIES PVT. LTD. / VAUTID-SHAH HARDFACE PVT. LTD. - STAFF LICENSE</t>
  </si>
  <si>
    <t>RENMAKCH INDIA PVT. LTD.</t>
  </si>
  <si>
    <t>WHISTLING WOODS INTERNATIONAL</t>
  </si>
  <si>
    <t>VIVID ELECTROMECH LTD. / VIVID GROUP</t>
  </si>
  <si>
    <t>SREE METALIKS LTD</t>
  </si>
  <si>
    <t>NAGRIK CONSULTANCY SERVICES</t>
  </si>
  <si>
    <t>NAIK MOTORS / NAIK MAHINDRA - RATNAGIRI LOC</t>
  </si>
  <si>
    <t>ANUH PHARMA PVT. LTD NX</t>
  </si>
  <si>
    <t>NAIK MOTORS -GOA LOC</t>
  </si>
  <si>
    <t>PPKG AND CO</t>
  </si>
  <si>
    <t>DOSHI MEDICARE PRIVATE LIMITED</t>
  </si>
  <si>
    <t>FEATHERTOUCH LEARNING PRIVATE LIMITED / FEATHER TOUH DAY CARE</t>
  </si>
  <si>
    <t>COSMOS IMPEX INDIA PVT LTD NG</t>
  </si>
  <si>
    <t>NIKIKA ENTERPRISES LLP</t>
  </si>
  <si>
    <t>PRIJAI HEAT EXCHANGERS PVT. LTD.</t>
  </si>
  <si>
    <t>parvathyhospital</t>
  </si>
  <si>
    <t>PANKAJ FASHION PVT LTD</t>
  </si>
  <si>
    <t>RAJESHWARI INFOTEL PVT. LTD. (RIPL)</t>
  </si>
  <si>
    <t>Talib and Shamsi Constructions Pvt. Ltd.</t>
  </si>
  <si>
    <t>Seventy Seven Entertainment Pvt Ltd</t>
  </si>
  <si>
    <t>SUVARNA DURGA GROUP (SDG) / SUVARNA DURGA PAPER BOARDS PRIVATE LIMITED</t>
  </si>
  <si>
    <t>Medium</t>
  </si>
  <si>
    <t>ARS STEELS &amp; ALLOY INTERNATIONAL PVT. LTD / ARS GROUP</t>
  </si>
  <si>
    <t>VED INDUSTRIES/ ROHIDA GROUP - POC LICENSE</t>
  </si>
  <si>
    <t>Procon RMC</t>
  </si>
  <si>
    <t>EVERGREEN HOUSEKEEPING SERVICES PRIVATE / EVERGREEN FACILITY SOLUTIONS</t>
  </si>
  <si>
    <t>SUNRISE FOODS BANGALORE</t>
  </si>
  <si>
    <t>NOTCH INDIA PROJECTS</t>
  </si>
  <si>
    <t>Elixrr Industries Pvt. Ltd.</t>
  </si>
  <si>
    <t>GUARDIAN CASTING PVT. LTD</t>
  </si>
  <si>
    <t>STORM FINANCIAL SERVICES</t>
  </si>
  <si>
    <t>CIRCLE RESOURCES PRIVATE LIMITED</t>
  </si>
  <si>
    <t>SYMBIOSIS CENTRE FOR DISTANCE LEARNING/SYMBIOSIS OPEN EDUCATION
SOCIETY (SDCL)</t>
  </si>
  <si>
    <t>High</t>
  </si>
  <si>
    <t>SHRI JANARDAN SWAMI HOSPITAL (SJS)</t>
  </si>
  <si>
    <t>RUPA SOLUTIONS PRIVATE LIMITED / RUPA GROUP / RUPA PROPERTIES</t>
  </si>
  <si>
    <t>TRIO JEWELS PVT LTD</t>
  </si>
  <si>
    <t>VOGUE N HYDE PRIVATE LIMITED/ MODAPELLE BAGS &amp; ACCESSORIES PRIVATE LIMITED</t>
  </si>
  <si>
    <t>Navio Shipping</t>
  </si>
  <si>
    <t>VIPUL ORGANICS LTD. - STAFF</t>
  </si>
  <si>
    <t>NIVAN BALAJI AUTOMOVERS PRIVATE LIMITED / BALAJI KIA - CAR SHOWROOM</t>
  </si>
  <si>
    <t>CAM TOOLS INDUSTRIES PVT LTD / DIGITAL TOOL ROOM</t>
  </si>
  <si>
    <t>GNG ELECTRONICS LIMITED / ELECTRONICS BAZAAR - FOR STAFF LICENSE CONVERSION TO NG</t>
  </si>
  <si>
    <t>TRIO JEWELS PVT LTD Contractual</t>
  </si>
  <si>
    <t>EMPREO PREMIUM PVT LTD</t>
  </si>
  <si>
    <t>EMPREO WHEEL PVT LIMITED (MG)</t>
  </si>
  <si>
    <t>SHREEKHETRA AUTOMOTIVE (TATA)</t>
  </si>
  <si>
    <t>AMAL EMBROIDERIES PVT. LTD</t>
  </si>
  <si>
    <t>AEGIS PRECISION PVT LTD  //  SHIMNIT INDIA PVT. LTD</t>
  </si>
  <si>
    <t>MULTI ORGANICS PVT LTD</t>
  </si>
  <si>
    <t>BFMS FACILITY MANAGEMENT PVT LTD</t>
  </si>
  <si>
    <t>MANJUSHREE INNOVATIONS PVT. LTD</t>
  </si>
  <si>
    <t>CRYOGAS EQUIPMENT PRIVATE LIMITED/CRYOGAS INDIA</t>
  </si>
  <si>
    <t>Mansha Agencies</t>
  </si>
  <si>
    <t>Muktangan Education Trust</t>
  </si>
  <si>
    <t>Vivan Associate</t>
  </si>
  <si>
    <t>BSA CORPORATION LIMITED / BSA GROUP</t>
  </si>
  <si>
    <t>INTEGRATED PEST MANAGEMENT SOLUTIONS (INDIA) PVT. LTD. (IPMS INDIA)</t>
  </si>
  <si>
    <t>SACRED HEART HOSPITAL JAL</t>
  </si>
  <si>
    <t>VED INDUSTRIES/ ROHIDA GROUP</t>
  </si>
  <si>
    <t>ITC FORTUNE HOTEL-SILIGURI / CKIM PROMOTERS LLP / FORTUNE SELECT 
SILIGURI</t>
  </si>
  <si>
    <t>SHREE DHOLI SATI TEXTILES PRIVATE LIMITED</t>
  </si>
  <si>
    <t>ANS NG</t>
  </si>
  <si>
    <t>STERLING LIFESTYLE LLP</t>
  </si>
  <si>
    <t>ACN HEALTHCARE RCM SERVICES PRIVATE LIMITED / ACN INFOTECH</t>
  </si>
  <si>
    <t>HELL ENERGY PVT LTD</t>
  </si>
  <si>
    <t>VISHWAKARMA FOUNDERS (I) PVT. LTD</t>
  </si>
  <si>
    <t>CREATIONS BY SHANAGAR</t>
  </si>
  <si>
    <t>AKRITI PHARMACEUTICALS PVT LTD</t>
  </si>
  <si>
    <t>FABTECH MULTI STATE COOPERATIVE CREDIT SOCIETY (FMSCCS)</t>
  </si>
  <si>
    <t>JIET MEDICAL COLLEGE HOSPITAL</t>
  </si>
  <si>
    <t>SURANA CHARITABLE TRUST / SURANA HOSPITAL AND RESEARCH CENTRE / 
MPCT HOSPITAL / SURANA GROUP OF HOSPITAL / SURANA HOSPITAL</t>
  </si>
  <si>
    <t>Yet To Start</t>
  </si>
  <si>
    <t>MAHATMA PHULE CHARITABLE TRUST/MPCT HOSPITAL / SURANA GROUP OF 
HOSPITAL / SURANA HOSPITAL / SURANA HOSPITAL AND RESEARCH CENTRE</t>
  </si>
  <si>
    <t>SURANA GROUP OF HOSPITAL / SURANA HOSPITAL</t>
  </si>
  <si>
    <t>ALSHIFA MULTI SPECIALTY HOSPITAL / HUMAN WELFARE TRUST</t>
  </si>
  <si>
    <t>NAVKAR CORPORATION LIMITED</t>
  </si>
  <si>
    <t>THE KANDIVALI EDUCATION SOCIETY</t>
  </si>
  <si>
    <t>Followup Due This Month</t>
  </si>
  <si>
    <t>Followup Quarter</t>
  </si>
  <si>
    <t>Followup Month</t>
  </si>
  <si>
    <t>Suggested Followup Date</t>
  </si>
  <si>
    <t>Completed Date</t>
  </si>
  <si>
    <t>Client Interaction Date</t>
  </si>
  <si>
    <t>Current Usage Status</t>
  </si>
  <si>
    <t>Challenges / Pain Points</t>
  </si>
  <si>
    <t>Support Required</t>
  </si>
  <si>
    <t>Scope of UpSelling</t>
  </si>
  <si>
    <t>PM Followup Notes</t>
  </si>
  <si>
    <t>Next Followup Date</t>
  </si>
  <si>
    <t>No</t>
  </si>
  <si>
    <t>Q3 2026</t>
  </si>
  <si>
    <t>July</t>
  </si>
  <si>
    <t>Check if the client is using the system properly, whether any challenge is open, and whether support/optimization is needed.</t>
  </si>
  <si>
    <t>September</t>
  </si>
  <si>
    <t>Yes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</si>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</sst>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0.0%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6"/>
      <color rgb="FF1F1F1F"/>
      <name val="Arial"/>
      <charset val="134"/>
    </font>
    <font>
      <b/>
      <sz val="12"/>
      <color rgb="FF1F1F1F"/>
      <name val="Arial"/>
      <charset val="134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/>
    <xf numFmtId="0" fontId="3" fillId="7" borderId="0" xfId="0" applyFont="1" applyFill="1"/>
    <xf numFmtId="0" fontId="4" fillId="0" borderId="1" xfId="0" applyFont="1" applyBorder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4" fillId="8" borderId="1" xfId="0" applyFont="1" applyFill="1" applyBorder="1"/>
    <xf numFmtId="0" fontId="0" fillId="8" borderId="1" xfId="0" applyFill="1" applyBorder="1"/>
    <xf numFmtId="0" fontId="5" fillId="0" borderId="0" xfId="0" applyFont="1"/>
    <xf numFmtId="0" fontId="4" fillId="7" borderId="1" xfId="0" applyFont="1" applyFill="1" applyBorder="1"/>
    <xf numFmtId="0" fontId="0" fillId="7" borderId="1" xfId="0" applyFill="1" applyBorder="1"/>
    <xf numFmtId="181" fontId="0" fillId="0" borderId="1" xfId="0" applyNumberFormat="1" applyBorder="1" applyAlignment="1">
      <alignment horizontal="center" vertical="center"/>
    </xf>
    <xf numFmtId="181" fontId="0" fillId="5" borderId="1" xfId="0" applyNumberFormat="1" applyFill="1" applyBorder="1" applyAlignment="1">
      <alignment horizontal="center" vertical="center"/>
    </xf>
    <xf numFmtId="181" fontId="0" fillId="6" borderId="1" xfId="0" applyNumberFormat="1" applyFill="1" applyBorder="1" applyAlignment="1">
      <alignment horizontal="center" vertical="center"/>
    </xf>
    <xf numFmtId="0" fontId="4" fillId="0" borderId="0" xfId="0" applyFont="1"/>
    <xf numFmtId="181" fontId="0" fillId="0" borderId="0" xfId="0" applyNumberFormat="1"/>
    <xf numFmtId="0" fontId="4" fillId="3" borderId="0" xfId="0" applyFont="1" applyFill="1"/>
    <xf numFmtId="0" fontId="0" fillId="3" borderId="0" xfId="0" applyFill="1"/>
    <xf numFmtId="181" fontId="0" fillId="3" borderId="0" xfId="0" applyNumberFormat="1" applyFill="1"/>
    <xf numFmtId="0" fontId="4" fillId="4" borderId="0" xfId="0" applyFont="1" applyFill="1"/>
    <xf numFmtId="0" fontId="0" fillId="4" borderId="0" xfId="0" applyFill="1"/>
    <xf numFmtId="181" fontId="0" fillId="4" borderId="0" xfId="0" applyNumberFormat="1" applyFill="1"/>
    <xf numFmtId="0" fontId="4" fillId="6" borderId="0" xfId="0" applyFont="1" applyFill="1"/>
    <xf numFmtId="0" fontId="0" fillId="6" borderId="0" xfId="0" applyFill="1"/>
    <xf numFmtId="181" fontId="0" fillId="6" borderId="0" xfId="0" applyNumberFormat="1" applyFill="1"/>
    <xf numFmtId="0" fontId="4" fillId="8" borderId="0" xfId="0" applyFont="1" applyFill="1"/>
    <xf numFmtId="0" fontId="0" fillId="8" borderId="0" xfId="0" applyFill="1"/>
    <xf numFmtId="181" fontId="0" fillId="8" borderId="0" xfId="0" applyNumberFormat="1" applyFill="1"/>
    <xf numFmtId="0" fontId="4" fillId="5" borderId="0" xfId="0" applyFont="1" applyFill="1"/>
    <xf numFmtId="0" fontId="0" fillId="5" borderId="0" xfId="0" applyFill="1"/>
    <xf numFmtId="181" fontId="0" fillId="5" borderId="0" xfId="0" applyNumberFormat="1" applyFill="1"/>
    <xf numFmtId="181" fontId="3" fillId="7" borderId="0" xfId="0" applyNumberFormat="1" applyFont="1" applyFill="1"/>
    <xf numFmtId="181" fontId="1" fillId="2" borderId="1" xfId="0" applyNumberFormat="1" applyFont="1" applyFill="1" applyBorder="1" applyAlignment="1">
      <alignment horizontal="center" vertical="center"/>
    </xf>
    <xf numFmtId="0" fontId="4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Status Breakdown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D9EAF7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'Overall Summary'!$A$10:$A$14</c:f>
              <c:strCache>
                <c:ptCount val="5"/>
                <c:pt idx="0">
                  <c:v>Total Completed</c:v>
                </c:pt>
                <c:pt idx="1">
                  <c:v>Total Active</c:v>
                </c:pt>
                <c:pt idx="2">
                  <c:v>Total Yet to Start</c:v>
                </c:pt>
                <c:pt idx="3">
                  <c:v>Total Held Up</c:v>
                </c:pt>
                <c:pt idx="4">
                  <c:v>Total Lost</c:v>
                </c:pt>
              </c:strCache>
            </c:strRef>
          </c:cat>
          <c:val>
            <c:numRef>
              <c:f>'Overall Summary'!$B$10:$B$14</c:f>
              <c:numCache>
                <c:formatCode>General</c:formatCode>
                <c:ptCount val="5"/>
                <c:pt idx="0">
                  <c:v>113</c:v>
                </c:pt>
                <c:pt idx="1">
                  <c:v>34</c:v>
                </c:pt>
                <c:pt idx="2">
                  <c:v>5</c:v>
                </c:pt>
                <c:pt idx="3">
                  <c:v>0</c:v>
                </c:pt>
                <c:pt idx="4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a0c221-0e91-41d9-b0b7-b690a12e9cd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Closing Balance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Metrics'!$J$4</c:f>
              <c:strCache>
                <c:ptCount val="1"/>
                <c:pt idx="0">
                  <c:v>Closing</c:v>
                </c:pt>
              </c:strCache>
            </c:strRef>
          </c:tx>
          <c:spPr>
            <a:ln w="28575" cap="rnd" cmpd="sng" algn="ctr">
              <a:solidFill>
                <a:srgbClr val="1F4E78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Metrics'!$A$5:$A$25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'Monthly Metrics'!$J$5:$J$25</c:f>
              <c:numCache>
                <c:formatCode>General</c:formatCode>
                <c:ptCount val="21"/>
                <c:pt idx="0">
                  <c:v>20</c:v>
                </c:pt>
                <c:pt idx="1">
                  <c:v>31</c:v>
                </c:pt>
                <c:pt idx="2">
                  <c:v>42</c:v>
                </c:pt>
                <c:pt idx="3">
                  <c:v>35</c:v>
                </c:pt>
                <c:pt idx="4">
                  <c:v>39</c:v>
                </c:pt>
                <c:pt idx="5">
                  <c:v>41</c:v>
                </c:pt>
                <c:pt idx="6">
                  <c:v>34</c:v>
                </c:pt>
                <c:pt idx="7">
                  <c:v>39</c:v>
                </c:pt>
                <c:pt idx="8">
                  <c:v>43</c:v>
                </c:pt>
                <c:pt idx="9">
                  <c:v>33</c:v>
                </c:pt>
                <c:pt idx="10">
                  <c:v>40</c:v>
                </c:pt>
                <c:pt idx="11">
                  <c:v>42</c:v>
                </c:pt>
                <c:pt idx="12">
                  <c:v>39</c:v>
                </c:pt>
                <c:pt idx="13">
                  <c:v>42</c:v>
                </c:pt>
                <c:pt idx="14">
                  <c:v>30</c:v>
                </c:pt>
                <c:pt idx="15">
                  <c:v>19</c:v>
                </c:pt>
                <c:pt idx="16">
                  <c:v>27</c:v>
                </c:pt>
                <c:pt idx="17">
                  <c:v>39</c:v>
                </c:pt>
                <c:pt idx="18">
                  <c:v>33</c:v>
                </c:pt>
                <c:pt idx="19">
                  <c:v>33</c:v>
                </c:pt>
                <c:pt idx="20">
                  <c:v>39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Projects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da35ad-a670-4475-946c-72ac62edbf2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Project Type Mix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8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'Overall Summary'!$A$7:$A$8</c:f>
              <c:strCache>
                <c:ptCount val="2"/>
                <c:pt idx="0">
                  <c:v>Total Allocations</c:v>
                </c:pt>
                <c:pt idx="1">
                  <c:v>Total Escalations</c:v>
                </c:pt>
              </c:strCache>
            </c:strRef>
          </c:cat>
          <c:val>
            <c:numRef>
              <c:f>'Overall Summary'!$B$7:$B$8</c:f>
              <c:numCache>
                <c:formatCode>General</c:formatCode>
                <c:ptCount val="2"/>
                <c:pt idx="0">
                  <c:v>87</c:v>
                </c:pt>
                <c:pt idx="1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6e2f6a-99ca-45c8-8bf3-634e626c884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</xdr:row>
      <xdr:rowOff>0</xdr:rowOff>
    </xdr:from>
    <xdr:ext cx="3240000" cy="2529525"/>
    <xdr:graphicFrame>
      <xdr:nvGraphicFramePr>
        <xdr:cNvPr id="2" name="Chart 1"/>
        <xdr:cNvGraphicFramePr/>
      </xdr:nvGraphicFramePr>
      <xdr:xfrm>
        <a:off x="3667125" y="638175"/>
        <a:ext cx="3239770" cy="2529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180975</xdr:rowOff>
    </xdr:from>
    <xdr:ext cx="5040000" cy="2520000"/>
    <xdr:graphicFrame>
      <xdr:nvGraphicFramePr>
        <xdr:cNvPr id="3" name="Chart 2"/>
        <xdr:cNvGraphicFramePr/>
      </xdr:nvGraphicFramePr>
      <xdr:xfrm>
        <a:off x="3667125" y="3495675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238125</xdr:colOff>
      <xdr:row>13</xdr:row>
      <xdr:rowOff>19050</xdr:rowOff>
    </xdr:from>
    <xdr:ext cx="3240000" cy="2520000"/>
    <xdr:graphicFrame>
      <xdr:nvGraphicFramePr>
        <xdr:cNvPr id="4" name="Chart 3"/>
        <xdr:cNvGraphicFramePr/>
      </xdr:nvGraphicFramePr>
      <xdr:xfrm>
        <a:off x="238125" y="257175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topLeftCell="A6" workbookViewId="0">
      <selection activeCell="L11" sqref="L11"/>
    </sheetView>
  </sheetViews>
  <sheetFormatPr defaultColWidth="9" defaultRowHeight="15" outlineLevelCol="1"/>
  <cols>
    <col min="1" max="1" width="28" customWidth="1"/>
    <col min="2" max="2" width="18" customWidth="1"/>
  </cols>
  <sheetData>
    <row r="1" ht="20.25" spans="1:2">
      <c r="A1" s="12" t="s">
        <v>0</v>
      </c>
    </row>
    <row r="2" spans="1:2">
      <c r="A2" s="22" t="s">
        <v>1</v>
      </c>
    </row>
    <row r="4" ht="15.75" spans="1:2">
      <c r="A4" s="13" t="s">
        <v>2</v>
      </c>
      <c r="B4" s="13"/>
    </row>
    <row r="5" spans="1:2">
      <c r="A5" s="47" t="s">
        <v>3</v>
      </c>
      <c r="B5" s="9">
        <f>COUNTA(Projects!A2:A176)</f>
        <v>175</v>
      </c>
    </row>
    <row r="6" spans="1:2">
      <c r="A6" s="47" t="s">
        <v>4</v>
      </c>
      <c r="B6" s="9">
        <f>COUNTIF(Projects!H2:H176,"Completed")</f>
        <v>113</v>
      </c>
    </row>
    <row r="7" spans="1:2">
      <c r="A7" s="47" t="s">
        <v>5</v>
      </c>
      <c r="B7" s="9">
        <f>COUNTIF(Projects!H2:H176,"Active")</f>
        <v>34</v>
      </c>
    </row>
    <row r="8" spans="1:2">
      <c r="A8" s="47" t="s">
        <v>6</v>
      </c>
      <c r="B8" s="29">
        <f>B6/B5</f>
        <v>0.645714285714286</v>
      </c>
    </row>
    <row r="9" spans="1:2">
      <c r="A9" s="47" t="s">
        <v>7</v>
      </c>
      <c r="B9" s="29">
        <f>(B5-COUNTIF(Projects!H2:H176,"Lost"))/B5</f>
        <v>0.868571428571429</v>
      </c>
    </row>
    <row r="10" spans="1:2">
      <c r="A10" s="47" t="s">
        <v>8</v>
      </c>
      <c r="B10" s="9">
        <f>AVERAGE(Projects!I2:I176)</f>
        <v>133.080882352941</v>
      </c>
    </row>
    <row r="11" spans="1:2">
      <c r="A11" s="47" t="s">
        <v>9</v>
      </c>
      <c r="B11" s="9">
        <v>39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18" sqref="B18"/>
    </sheetView>
  </sheetViews>
  <sheetFormatPr defaultColWidth="9" defaultRowHeight="15" outlineLevelCol="3"/>
  <cols>
    <col min="1" max="1" width="28" customWidth="1"/>
    <col min="2" max="2" width="18" customWidth="1"/>
    <col min="3" max="3" width="28" customWidth="1"/>
    <col min="4" max="4" width="16" customWidth="1"/>
  </cols>
  <sheetData>
    <row r="1" ht="20.25" spans="1:4">
      <c r="A1" s="12" t="s">
        <v>10</v>
      </c>
    </row>
    <row r="2" spans="1:4">
      <c r="A2" s="22" t="s">
        <v>11</v>
      </c>
    </row>
    <row r="4" ht="15.75" spans="1:4">
      <c r="A4" s="13" t="s">
        <v>12</v>
      </c>
      <c r="B4" s="13"/>
      <c r="C4" s="13"/>
      <c r="D4" s="13"/>
    </row>
    <row r="5" spans="1:4">
      <c r="A5" s="1" t="s">
        <v>13</v>
      </c>
      <c r="B5" s="1" t="s">
        <v>14</v>
      </c>
      <c r="C5" s="1" t="s">
        <v>15</v>
      </c>
      <c r="D5" s="1" t="s">
        <v>16</v>
      </c>
    </row>
    <row r="6" spans="1:4">
      <c r="A6" s="28" t="s">
        <v>3</v>
      </c>
      <c r="B6">
        <f>COUNTA(Projects!A2:A176)</f>
        <v>175</v>
      </c>
      <c r="D6" s="29">
        <f>B6/B6</f>
        <v>1</v>
      </c>
    </row>
    <row r="7" spans="1:4">
      <c r="A7" s="30" t="s">
        <v>17</v>
      </c>
      <c r="B7" s="31">
        <f>COUNTIF(Projects!B2:B176,"Allocation")</f>
        <v>87</v>
      </c>
      <c r="C7" s="31" t="s">
        <v>18</v>
      </c>
      <c r="D7" s="32">
        <f>B7/B6</f>
        <v>0.497142857142857</v>
      </c>
    </row>
    <row r="8" spans="1:4">
      <c r="A8" s="30" t="s">
        <v>19</v>
      </c>
      <c r="B8" s="31">
        <f>COUNTIF(Projects!B2:B176,"Escalation")</f>
        <v>88</v>
      </c>
      <c r="C8" s="31" t="s">
        <v>18</v>
      </c>
      <c r="D8" s="32">
        <f>B8/B6</f>
        <v>0.502857142857143</v>
      </c>
    </row>
    <row r="9" spans="1:4">
      <c r="D9" s="29"/>
    </row>
    <row r="10" spans="1:4">
      <c r="A10" s="33" t="s">
        <v>20</v>
      </c>
      <c r="B10" s="34">
        <f>COUNTIF(Projects!H2:H176,"Completed")</f>
        <v>113</v>
      </c>
      <c r="C10" s="34" t="s">
        <v>21</v>
      </c>
      <c r="D10" s="35">
        <f>B10/B6</f>
        <v>0.645714285714286</v>
      </c>
    </row>
    <row r="11" spans="1:4">
      <c r="A11" s="36" t="s">
        <v>22</v>
      </c>
      <c r="B11" s="37">
        <f>COUNTIF(Projects!H2:H176,"Active")</f>
        <v>34</v>
      </c>
      <c r="C11" s="37" t="s">
        <v>21</v>
      </c>
      <c r="D11" s="38">
        <f>B11/B6</f>
        <v>0.194285714285714</v>
      </c>
    </row>
    <row r="12" spans="1:4">
      <c r="A12" s="30" t="s">
        <v>23</v>
      </c>
      <c r="B12" s="31">
        <f>COUNTIF(Projects!H2:H176,"Yet To Start")</f>
        <v>5</v>
      </c>
      <c r="C12" s="31" t="s">
        <v>21</v>
      </c>
      <c r="D12" s="32">
        <f>B12/B6</f>
        <v>0.0285714285714286</v>
      </c>
    </row>
    <row r="13" spans="1:4">
      <c r="A13" s="39" t="s">
        <v>24</v>
      </c>
      <c r="B13" s="40">
        <f>COUNTIF(Projects!H2:H176,"Held Up")</f>
        <v>0</v>
      </c>
      <c r="C13" s="40" t="s">
        <v>21</v>
      </c>
      <c r="D13" s="41">
        <f>B13/B6</f>
        <v>0</v>
      </c>
    </row>
    <row r="14" spans="1:4">
      <c r="A14" s="42" t="s">
        <v>25</v>
      </c>
      <c r="B14" s="43">
        <f>COUNTIF(Projects!H2:H176,"Lost")</f>
        <v>23</v>
      </c>
      <c r="C14" s="43" t="s">
        <v>21</v>
      </c>
      <c r="D14" s="44">
        <f>B14/B6</f>
        <v>0.131428571428571</v>
      </c>
    </row>
    <row r="15" spans="1:4">
      <c r="D15" s="29"/>
    </row>
    <row r="16" ht="15.75" spans="1:4">
      <c r="A16" s="13" t="s">
        <v>26</v>
      </c>
      <c r="B16" s="13"/>
      <c r="C16" s="13"/>
      <c r="D16" s="45"/>
    </row>
    <row r="17" spans="1:4">
      <c r="A17" s="1" t="s">
        <v>27</v>
      </c>
      <c r="B17" s="1" t="s">
        <v>28</v>
      </c>
      <c r="C17" s="1" t="s">
        <v>29</v>
      </c>
      <c r="D17" s="46" t="s">
        <v>30</v>
      </c>
    </row>
    <row r="18" spans="1:4">
      <c r="A18" s="28" t="s">
        <v>6</v>
      </c>
      <c r="B18">
        <f>B10/B6</f>
        <v>0.645714285714286</v>
      </c>
      <c r="C18" t="s">
        <v>31</v>
      </c>
      <c r="D18" s="29"/>
    </row>
    <row r="19" spans="1:4">
      <c r="A19" s="28" t="s">
        <v>7</v>
      </c>
      <c r="B19">
        <f>(B6-B14)/B6</f>
        <v>0.868571428571429</v>
      </c>
      <c r="C19" t="s">
        <v>32</v>
      </c>
      <c r="D19" s="29"/>
    </row>
    <row r="20" spans="1:4">
      <c r="A20" s="28" t="s">
        <v>33</v>
      </c>
      <c r="B20">
        <f>B11/B6</f>
        <v>0.194285714285714</v>
      </c>
      <c r="C20" t="s">
        <v>34</v>
      </c>
      <c r="D20" s="29"/>
    </row>
    <row r="21" spans="1:4">
      <c r="A21" s="28" t="s">
        <v>8</v>
      </c>
      <c r="B21">
        <f>AVERAGE(Projects!I2:I176)</f>
        <v>133.080882352941</v>
      </c>
      <c r="C21" t="s">
        <v>35</v>
      </c>
      <c r="D21" s="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5"/>
  <cols>
    <col min="1" max="1" width="12" customWidth="1"/>
    <col min="2" max="2" width="18" customWidth="1"/>
    <col min="3" max="4" width="14" customWidth="1"/>
    <col min="5" max="5" width="16" customWidth="1"/>
    <col min="6" max="6" width="14" customWidth="1"/>
    <col min="7" max="8" width="12" customWidth="1"/>
    <col min="9" max="10" width="16" customWidth="1"/>
    <col min="11" max="11" width="14" customWidth="1"/>
  </cols>
  <sheetData>
    <row r="1" ht="20.25" spans="1:11">
      <c r="A1" s="12" t="s">
        <v>36</v>
      </c>
    </row>
    <row r="2" spans="1:11">
      <c r="A2" s="22" t="s">
        <v>37</v>
      </c>
    </row>
    <row r="4" ht="15.75" spans="1:11">
      <c r="A4" s="13" t="s">
        <v>38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</v>
      </c>
      <c r="G5" s="1" t="s">
        <v>44</v>
      </c>
      <c r="H5" s="1" t="s">
        <v>45</v>
      </c>
      <c r="I5" s="1" t="s">
        <v>46</v>
      </c>
      <c r="J5" s="1" t="s">
        <v>6</v>
      </c>
      <c r="K5" s="1" t="s">
        <v>7</v>
      </c>
    </row>
    <row r="6" spans="1:11">
      <c r="A6" s="2">
        <v>2025</v>
      </c>
      <c r="B6" s="2" t="s">
        <v>47</v>
      </c>
      <c r="C6" s="2">
        <v>50</v>
      </c>
      <c r="D6" s="2">
        <v>63</v>
      </c>
      <c r="E6" s="2">
        <v>113</v>
      </c>
      <c r="F6" s="2">
        <v>60</v>
      </c>
      <c r="G6" s="2">
        <v>11</v>
      </c>
      <c r="H6" s="2">
        <v>0</v>
      </c>
      <c r="I6" s="2">
        <v>42</v>
      </c>
      <c r="J6" s="25">
        <v>0.530973451327434</v>
      </c>
      <c r="K6" s="25">
        <v>0.902654867256637</v>
      </c>
    </row>
    <row r="7" spans="1:11">
      <c r="A7" s="2">
        <v>2026</v>
      </c>
      <c r="B7" s="2" t="s">
        <v>48</v>
      </c>
      <c r="C7" s="2">
        <v>32</v>
      </c>
      <c r="D7" s="2">
        <v>24</v>
      </c>
      <c r="E7" s="2">
        <v>56</v>
      </c>
      <c r="F7" s="2">
        <v>53</v>
      </c>
      <c r="G7" s="2">
        <v>12</v>
      </c>
      <c r="H7" s="2">
        <v>0</v>
      </c>
      <c r="I7" s="2">
        <v>33</v>
      </c>
      <c r="J7" s="25">
        <v>0.946428571428571</v>
      </c>
      <c r="K7" s="25">
        <v>0.785714285714286</v>
      </c>
    </row>
    <row r="10" ht="15.75" spans="1:11">
      <c r="A10" s="13" t="s">
        <v>49</v>
      </c>
      <c r="B10" s="13"/>
      <c r="C10" s="13"/>
      <c r="D10" s="13"/>
      <c r="E10" s="13"/>
    </row>
    <row r="11" spans="1:11">
      <c r="A11" s="1" t="s">
        <v>13</v>
      </c>
      <c r="B11" s="1" t="s">
        <v>50</v>
      </c>
      <c r="C11" s="1" t="s">
        <v>51</v>
      </c>
      <c r="D11" s="1" t="s">
        <v>52</v>
      </c>
      <c r="E11" s="1" t="s">
        <v>53</v>
      </c>
    </row>
    <row r="12" ht="30" spans="1:11">
      <c r="A12" s="4" t="s">
        <v>43</v>
      </c>
      <c r="B12" s="2">
        <v>87</v>
      </c>
      <c r="C12" s="2">
        <v>56</v>
      </c>
      <c r="D12" s="10">
        <v>-31</v>
      </c>
      <c r="E12" s="26">
        <v>-0.35632183908046</v>
      </c>
    </row>
    <row r="13" spans="1:11">
      <c r="A13" s="4" t="s">
        <v>4</v>
      </c>
      <c r="B13" s="2">
        <v>39</v>
      </c>
      <c r="C13" s="2">
        <v>53</v>
      </c>
      <c r="D13" s="11">
        <v>14</v>
      </c>
      <c r="E13" s="27">
        <v>0.358974358974359</v>
      </c>
    </row>
    <row r="14" spans="1:11">
      <c r="A14" s="4" t="s">
        <v>44</v>
      </c>
      <c r="B14" s="2">
        <v>9</v>
      </c>
      <c r="C14" s="2">
        <v>12</v>
      </c>
      <c r="D14" s="11">
        <v>3</v>
      </c>
      <c r="E14" s="27">
        <v>0.333333333333333</v>
      </c>
    </row>
    <row r="15" spans="1:11">
      <c r="A15" s="4" t="s">
        <v>45</v>
      </c>
      <c r="B15" s="2">
        <v>0</v>
      </c>
      <c r="C15" s="2">
        <v>0</v>
      </c>
      <c r="D15" s="11">
        <v>0</v>
      </c>
      <c r="E15" s="27">
        <v>0</v>
      </c>
    </row>
    <row r="16" ht="30" spans="1:11">
      <c r="A16" s="4" t="s">
        <v>6</v>
      </c>
      <c r="B16" s="2">
        <v>0.448275862068966</v>
      </c>
      <c r="C16" s="2">
        <v>0.946428571428571</v>
      </c>
      <c r="D16" s="11">
        <v>0.498152709359606</v>
      </c>
      <c r="E16" s="27">
        <v>1.11126373626374</v>
      </c>
    </row>
    <row r="17" ht="30" spans="1:5">
      <c r="A17" s="4" t="s">
        <v>54</v>
      </c>
      <c r="B17" s="2">
        <v>4</v>
      </c>
      <c r="C17" s="2">
        <v>39</v>
      </c>
      <c r="D17" s="11">
        <v>35</v>
      </c>
      <c r="E17" s="27">
        <v>8.75</v>
      </c>
    </row>
    <row r="21" ht="15.75" spans="1:5">
      <c r="A21" s="13" t="s">
        <v>55</v>
      </c>
      <c r="B21" s="13"/>
    </row>
    <row r="22" ht="75" spans="1:5">
      <c r="A22" s="15">
        <v>1</v>
      </c>
      <c r="B22" s="4" t="s">
        <v>56</v>
      </c>
    </row>
    <row r="23" ht="105" spans="1:5">
      <c r="A23" s="15">
        <v>2</v>
      </c>
      <c r="B23" s="4" t="s">
        <v>57</v>
      </c>
    </row>
    <row r="24" ht="75" spans="1:5">
      <c r="A24" s="15">
        <v>3</v>
      </c>
      <c r="B24" s="4" t="s">
        <v>58</v>
      </c>
    </row>
    <row r="25" ht="60" spans="1:5">
      <c r="A25" s="15">
        <v>4</v>
      </c>
      <c r="B25" s="4" t="s">
        <v>59</v>
      </c>
    </row>
    <row r="26" ht="90" spans="1:5">
      <c r="A26" s="15">
        <v>5</v>
      </c>
      <c r="B26" s="4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opLeftCell="A6" workbookViewId="0">
      <selection activeCell="A24" sqref="$A24:$XFD24"/>
    </sheetView>
  </sheetViews>
  <sheetFormatPr defaultColWidth="9" defaultRowHeight="15"/>
  <cols>
    <col min="1" max="10" width="14" customWidth="1"/>
  </cols>
  <sheetData>
    <row r="1" ht="20.25" spans="1:10">
      <c r="A1" s="12" t="s">
        <v>61</v>
      </c>
    </row>
    <row r="2" spans="1:10">
      <c r="A2" s="22" t="s">
        <v>62</v>
      </c>
    </row>
    <row r="4" spans="1:10">
      <c r="A4" s="1" t="s">
        <v>63</v>
      </c>
      <c r="B4" s="1" t="s">
        <v>64</v>
      </c>
      <c r="C4" s="1" t="s">
        <v>41</v>
      </c>
      <c r="D4" s="1" t="s">
        <v>42</v>
      </c>
      <c r="E4" s="1" t="s">
        <v>65</v>
      </c>
      <c r="F4" s="1" t="s">
        <v>4</v>
      </c>
      <c r="G4" s="1" t="s">
        <v>44</v>
      </c>
      <c r="H4" s="1" t="s">
        <v>66</v>
      </c>
      <c r="I4" s="1" t="s">
        <v>67</v>
      </c>
      <c r="J4" s="1" t="s">
        <v>68</v>
      </c>
    </row>
    <row r="5" spans="1:10">
      <c r="A5" s="2" t="s">
        <v>69</v>
      </c>
      <c r="B5" s="2">
        <v>0</v>
      </c>
      <c r="C5" s="2">
        <v>8</v>
      </c>
      <c r="D5" s="2">
        <v>12</v>
      </c>
      <c r="E5" s="2">
        <v>20</v>
      </c>
      <c r="F5" s="2">
        <v>0</v>
      </c>
      <c r="G5" s="2">
        <v>0</v>
      </c>
      <c r="H5" s="2">
        <v>0</v>
      </c>
      <c r="I5" s="2">
        <f t="shared" ref="I5:I25" si="0">E5-F5-G5-H5</f>
        <v>20</v>
      </c>
      <c r="J5" s="2">
        <v>20</v>
      </c>
    </row>
    <row r="6" spans="1:10">
      <c r="A6" s="2" t="s">
        <v>70</v>
      </c>
      <c r="B6" s="2">
        <v>20</v>
      </c>
      <c r="C6" s="2">
        <v>6</v>
      </c>
      <c r="D6" s="2">
        <v>5</v>
      </c>
      <c r="E6" s="2">
        <v>11</v>
      </c>
      <c r="F6" s="2">
        <v>0</v>
      </c>
      <c r="G6" s="2">
        <v>0</v>
      </c>
      <c r="H6" s="2">
        <v>0</v>
      </c>
      <c r="I6" s="2">
        <f t="shared" si="0"/>
        <v>11</v>
      </c>
      <c r="J6" s="2">
        <v>31</v>
      </c>
    </row>
    <row r="7" spans="1:10">
      <c r="A7" s="2" t="s">
        <v>71</v>
      </c>
      <c r="B7" s="2">
        <v>31</v>
      </c>
      <c r="C7" s="2">
        <v>7</v>
      </c>
      <c r="D7" s="2">
        <v>4</v>
      </c>
      <c r="E7" s="2">
        <v>11</v>
      </c>
      <c r="F7" s="2">
        <v>0</v>
      </c>
      <c r="G7" s="2">
        <v>0</v>
      </c>
      <c r="H7" s="2">
        <v>0</v>
      </c>
      <c r="I7" s="2">
        <f t="shared" si="0"/>
        <v>11</v>
      </c>
      <c r="J7" s="2">
        <v>42</v>
      </c>
    </row>
    <row r="8" spans="1:10">
      <c r="A8" s="2" t="s">
        <v>72</v>
      </c>
      <c r="B8" s="2">
        <v>42</v>
      </c>
      <c r="C8" s="2">
        <v>2</v>
      </c>
      <c r="D8" s="2">
        <v>7</v>
      </c>
      <c r="E8" s="2">
        <v>9</v>
      </c>
      <c r="F8" s="2">
        <v>15</v>
      </c>
      <c r="G8" s="2">
        <v>1</v>
      </c>
      <c r="H8" s="2">
        <v>0</v>
      </c>
      <c r="I8" s="2">
        <f t="shared" si="0"/>
        <v>-7</v>
      </c>
      <c r="J8" s="2">
        <v>35</v>
      </c>
    </row>
    <row r="9" spans="1:10">
      <c r="A9" s="2" t="s">
        <v>73</v>
      </c>
      <c r="B9" s="2">
        <v>35</v>
      </c>
      <c r="C9" s="2">
        <v>2</v>
      </c>
      <c r="D9" s="2">
        <v>4</v>
      </c>
      <c r="E9" s="2">
        <v>6</v>
      </c>
      <c r="F9" s="2">
        <v>2</v>
      </c>
      <c r="G9" s="2">
        <v>0</v>
      </c>
      <c r="H9" s="2">
        <v>0</v>
      </c>
      <c r="I9" s="2">
        <f t="shared" si="0"/>
        <v>4</v>
      </c>
      <c r="J9" s="2">
        <v>39</v>
      </c>
    </row>
    <row r="10" spans="1:10">
      <c r="A10" s="2" t="s">
        <v>74</v>
      </c>
      <c r="B10" s="2">
        <v>39</v>
      </c>
      <c r="C10" s="2">
        <v>7</v>
      </c>
      <c r="D10" s="2">
        <v>4</v>
      </c>
      <c r="E10" s="2">
        <v>11</v>
      </c>
      <c r="F10" s="2">
        <v>6</v>
      </c>
      <c r="G10" s="2">
        <v>3</v>
      </c>
      <c r="H10" s="2">
        <v>0</v>
      </c>
      <c r="I10" s="2">
        <f t="shared" si="0"/>
        <v>2</v>
      </c>
      <c r="J10" s="2">
        <v>41</v>
      </c>
    </row>
    <row r="11" spans="1:10">
      <c r="A11" s="2" t="s">
        <v>75</v>
      </c>
      <c r="B11" s="2">
        <v>41</v>
      </c>
      <c r="C11" s="2">
        <v>0</v>
      </c>
      <c r="D11" s="2">
        <v>7</v>
      </c>
      <c r="E11" s="2">
        <v>7</v>
      </c>
      <c r="F11" s="2">
        <v>9</v>
      </c>
      <c r="G11" s="2">
        <v>5</v>
      </c>
      <c r="H11" s="2">
        <v>0</v>
      </c>
      <c r="I11" s="2">
        <f t="shared" si="0"/>
        <v>-7</v>
      </c>
      <c r="J11" s="2">
        <v>34</v>
      </c>
    </row>
    <row r="12" spans="1:10">
      <c r="A12" s="2" t="s">
        <v>76</v>
      </c>
      <c r="B12" s="2">
        <v>34</v>
      </c>
      <c r="C12" s="2">
        <v>5</v>
      </c>
      <c r="D12" s="2">
        <v>7</v>
      </c>
      <c r="E12" s="2">
        <v>12</v>
      </c>
      <c r="F12" s="2">
        <v>7</v>
      </c>
      <c r="G12" s="2">
        <v>0</v>
      </c>
      <c r="H12" s="2">
        <v>0</v>
      </c>
      <c r="I12" s="2">
        <f t="shared" si="0"/>
        <v>5</v>
      </c>
      <c r="J12" s="2">
        <v>39</v>
      </c>
    </row>
    <row r="13" spans="1:10">
      <c r="A13" s="2" t="s">
        <v>77</v>
      </c>
      <c r="B13" s="2">
        <v>39</v>
      </c>
      <c r="C13" s="2">
        <v>4</v>
      </c>
      <c r="D13" s="2">
        <v>3</v>
      </c>
      <c r="E13" s="2">
        <v>7</v>
      </c>
      <c r="F13" s="2">
        <v>3</v>
      </c>
      <c r="G13" s="2">
        <v>0</v>
      </c>
      <c r="H13" s="2">
        <v>0</v>
      </c>
      <c r="I13" s="2">
        <f t="shared" si="0"/>
        <v>4</v>
      </c>
      <c r="J13" s="2">
        <v>43</v>
      </c>
    </row>
    <row r="14" spans="1:10">
      <c r="A14" s="2" t="s">
        <v>78</v>
      </c>
      <c r="B14" s="2">
        <v>43</v>
      </c>
      <c r="C14" s="2">
        <v>3</v>
      </c>
      <c r="D14" s="2">
        <v>4</v>
      </c>
      <c r="E14" s="2">
        <v>7</v>
      </c>
      <c r="F14" s="2">
        <v>16</v>
      </c>
      <c r="G14" s="2">
        <v>1</v>
      </c>
      <c r="H14" s="2">
        <v>0</v>
      </c>
      <c r="I14" s="2">
        <f t="shared" si="0"/>
        <v>-10</v>
      </c>
      <c r="J14" s="2">
        <v>33</v>
      </c>
    </row>
    <row r="15" spans="1:10">
      <c r="A15" s="2" t="s">
        <v>79</v>
      </c>
      <c r="B15" s="2">
        <v>33</v>
      </c>
      <c r="C15" s="2">
        <v>5</v>
      </c>
      <c r="D15" s="2">
        <v>5</v>
      </c>
      <c r="E15" s="2">
        <v>10</v>
      </c>
      <c r="F15" s="2">
        <v>2</v>
      </c>
      <c r="G15" s="2">
        <v>1</v>
      </c>
      <c r="H15" s="2">
        <v>0</v>
      </c>
      <c r="I15" s="2">
        <f t="shared" si="0"/>
        <v>7</v>
      </c>
      <c r="J15" s="2">
        <v>40</v>
      </c>
    </row>
    <row r="16" spans="1:10">
      <c r="A16" s="2" t="s">
        <v>80</v>
      </c>
      <c r="B16" s="2">
        <v>40</v>
      </c>
      <c r="C16" s="2">
        <v>1</v>
      </c>
      <c r="D16" s="2">
        <v>1</v>
      </c>
      <c r="E16" s="2">
        <v>2</v>
      </c>
      <c r="F16" s="2">
        <v>0</v>
      </c>
      <c r="G16" s="2">
        <v>0</v>
      </c>
      <c r="H16" s="2">
        <v>0</v>
      </c>
      <c r="I16" s="2">
        <f t="shared" si="0"/>
        <v>2</v>
      </c>
      <c r="J16" s="2">
        <v>42</v>
      </c>
    </row>
    <row r="17" spans="1:10">
      <c r="A17" s="2" t="s">
        <v>81</v>
      </c>
      <c r="B17" s="2">
        <v>42</v>
      </c>
      <c r="C17" s="2">
        <v>4</v>
      </c>
      <c r="D17" s="2">
        <v>3</v>
      </c>
      <c r="E17" s="2">
        <v>7</v>
      </c>
      <c r="F17" s="2">
        <v>9</v>
      </c>
      <c r="G17" s="2">
        <v>1</v>
      </c>
      <c r="H17" s="2">
        <v>0</v>
      </c>
      <c r="I17" s="2">
        <f t="shared" si="0"/>
        <v>-3</v>
      </c>
      <c r="J17" s="2">
        <v>39</v>
      </c>
    </row>
    <row r="18" spans="1:10">
      <c r="A18" s="2" t="s">
        <v>82</v>
      </c>
      <c r="B18" s="2">
        <v>39</v>
      </c>
      <c r="C18" s="2">
        <v>2</v>
      </c>
      <c r="D18" s="2">
        <v>6</v>
      </c>
      <c r="E18" s="2">
        <v>8</v>
      </c>
      <c r="F18" s="2">
        <v>5</v>
      </c>
      <c r="G18" s="2">
        <v>0</v>
      </c>
      <c r="H18" s="2">
        <v>0</v>
      </c>
      <c r="I18" s="2">
        <f t="shared" si="0"/>
        <v>3</v>
      </c>
      <c r="J18" s="2">
        <v>42</v>
      </c>
    </row>
    <row r="19" spans="1:10">
      <c r="A19" s="2" t="s">
        <v>83</v>
      </c>
      <c r="B19" s="2">
        <v>42</v>
      </c>
      <c r="C19" s="2">
        <v>1</v>
      </c>
      <c r="D19" s="2">
        <v>1</v>
      </c>
      <c r="E19" s="2">
        <v>2</v>
      </c>
      <c r="F19" s="2">
        <v>12</v>
      </c>
      <c r="G19" s="2">
        <v>2</v>
      </c>
      <c r="H19" s="2">
        <v>0</v>
      </c>
      <c r="I19" s="2">
        <f t="shared" si="0"/>
        <v>-12</v>
      </c>
      <c r="J19" s="2">
        <v>30</v>
      </c>
    </row>
    <row r="20" spans="1:10">
      <c r="A20" s="2" t="s">
        <v>84</v>
      </c>
      <c r="B20" s="2">
        <v>30</v>
      </c>
      <c r="C20" s="2">
        <v>5</v>
      </c>
      <c r="D20" s="2">
        <v>1</v>
      </c>
      <c r="E20" s="2">
        <v>6</v>
      </c>
      <c r="F20" s="2">
        <v>13</v>
      </c>
      <c r="G20" s="2">
        <v>4</v>
      </c>
      <c r="H20" s="2">
        <v>0</v>
      </c>
      <c r="I20" s="2">
        <f t="shared" si="0"/>
        <v>-11</v>
      </c>
      <c r="J20" s="2">
        <v>19</v>
      </c>
    </row>
    <row r="21" spans="1:10">
      <c r="A21" s="2" t="s">
        <v>85</v>
      </c>
      <c r="B21" s="2">
        <v>19</v>
      </c>
      <c r="C21" s="2">
        <v>7</v>
      </c>
      <c r="D21" s="2">
        <v>6</v>
      </c>
      <c r="E21" s="2">
        <v>13</v>
      </c>
      <c r="F21" s="2">
        <v>5</v>
      </c>
      <c r="G21" s="2">
        <v>0</v>
      </c>
      <c r="H21" s="2">
        <v>0</v>
      </c>
      <c r="I21" s="2">
        <f t="shared" si="0"/>
        <v>8</v>
      </c>
      <c r="J21" s="2">
        <v>27</v>
      </c>
    </row>
    <row r="22" spans="1:10">
      <c r="A22" s="2" t="s">
        <v>86</v>
      </c>
      <c r="B22" s="2">
        <v>27</v>
      </c>
      <c r="C22" s="2">
        <v>6</v>
      </c>
      <c r="D22" s="2">
        <v>6</v>
      </c>
      <c r="E22" s="2">
        <v>12</v>
      </c>
      <c r="F22" s="2">
        <v>0</v>
      </c>
      <c r="G22" s="2">
        <v>0</v>
      </c>
      <c r="H22" s="2">
        <v>0</v>
      </c>
      <c r="I22" s="2">
        <f t="shared" si="0"/>
        <v>12</v>
      </c>
      <c r="J22" s="2">
        <v>39</v>
      </c>
    </row>
    <row r="23" spans="1:10">
      <c r="A23" s="2" t="s">
        <v>87</v>
      </c>
      <c r="B23" s="2">
        <v>39</v>
      </c>
      <c r="C23" s="2">
        <v>3</v>
      </c>
      <c r="D23" s="2">
        <v>0</v>
      </c>
      <c r="E23" s="2">
        <v>3</v>
      </c>
      <c r="F23" s="2">
        <v>7</v>
      </c>
      <c r="G23" s="2">
        <v>2</v>
      </c>
      <c r="H23" s="2">
        <v>0</v>
      </c>
      <c r="I23" s="2">
        <f t="shared" si="0"/>
        <v>-6</v>
      </c>
      <c r="J23" s="2">
        <v>33</v>
      </c>
    </row>
    <row r="24" spans="1:10">
      <c r="A24" s="2" t="s">
        <v>88</v>
      </c>
      <c r="B24" s="2">
        <v>33</v>
      </c>
      <c r="C24" s="2">
        <v>4</v>
      </c>
      <c r="D24" s="2">
        <v>1</v>
      </c>
      <c r="E24" s="2">
        <v>5</v>
      </c>
      <c r="F24" s="2">
        <v>2</v>
      </c>
      <c r="G24" s="2">
        <v>3</v>
      </c>
      <c r="H24" s="2">
        <v>0</v>
      </c>
      <c r="I24" s="2">
        <f t="shared" si="0"/>
        <v>0</v>
      </c>
      <c r="J24" s="2">
        <v>33</v>
      </c>
    </row>
    <row r="25" spans="1:10">
      <c r="A25" s="2" t="s">
        <v>89</v>
      </c>
      <c r="B25" s="2">
        <v>33</v>
      </c>
      <c r="C25" s="2">
        <v>5</v>
      </c>
      <c r="D25" s="2">
        <v>1</v>
      </c>
      <c r="E25" s="2">
        <v>6</v>
      </c>
      <c r="F25" s="2">
        <v>0</v>
      </c>
      <c r="G25" s="2">
        <v>0</v>
      </c>
      <c r="H25" s="2">
        <v>0</v>
      </c>
      <c r="I25" s="2">
        <f t="shared" si="0"/>
        <v>6</v>
      </c>
      <c r="J25" s="2">
        <v>39</v>
      </c>
    </row>
    <row r="26" spans="1:10">
      <c r="A26" s="23" t="s">
        <v>90</v>
      </c>
      <c r="B26" s="24"/>
      <c r="C26" s="23">
        <f t="shared" ref="C26:I26" si="1">SUM(C5:C25)</f>
        <v>87</v>
      </c>
      <c r="D26" s="23">
        <f t="shared" si="1"/>
        <v>88</v>
      </c>
      <c r="E26" s="23">
        <f t="shared" si="1"/>
        <v>175</v>
      </c>
      <c r="F26" s="23">
        <f t="shared" si="1"/>
        <v>113</v>
      </c>
      <c r="G26" s="23">
        <f t="shared" si="1"/>
        <v>23</v>
      </c>
      <c r="H26" s="23">
        <f t="shared" si="1"/>
        <v>0</v>
      </c>
      <c r="I26" s="23">
        <f t="shared" si="1"/>
        <v>39</v>
      </c>
      <c r="J26" s="2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5" outlineLevelCol="2"/>
  <cols>
    <col min="1" max="1" width="24" customWidth="1"/>
    <col min="2" max="2" width="16" customWidth="1"/>
    <col min="3" max="3" width="36" customWidth="1"/>
  </cols>
  <sheetData>
    <row r="1" ht="20.25" spans="1:3">
      <c r="A1" s="12" t="s">
        <v>91</v>
      </c>
    </row>
    <row r="3" ht="15.75" spans="1:3">
      <c r="A3" s="13" t="s">
        <v>92</v>
      </c>
      <c r="B3" s="13"/>
      <c r="C3" s="13"/>
    </row>
    <row r="4" spans="1:3">
      <c r="A4" s="1" t="s">
        <v>13</v>
      </c>
      <c r="B4" s="1" t="s">
        <v>28</v>
      </c>
      <c r="C4" s="1" t="s">
        <v>93</v>
      </c>
    </row>
    <row r="5" spans="1:3">
      <c r="A5" s="14" t="s">
        <v>63</v>
      </c>
      <c r="B5" s="15" t="s">
        <v>94</v>
      </c>
      <c r="C5" s="15" t="s">
        <v>30</v>
      </c>
    </row>
    <row r="6" spans="1:3">
      <c r="A6" s="14" t="s">
        <v>95</v>
      </c>
      <c r="B6" s="15">
        <v>33</v>
      </c>
      <c r="C6" s="15" t="s">
        <v>96</v>
      </c>
    </row>
    <row r="7" spans="1:3">
      <c r="A7" s="14" t="s">
        <v>97</v>
      </c>
      <c r="B7" s="15">
        <v>4</v>
      </c>
      <c r="C7" s="15" t="s">
        <v>98</v>
      </c>
    </row>
    <row r="8" spans="1:3">
      <c r="A8" s="14" t="s">
        <v>99</v>
      </c>
      <c r="B8" s="15">
        <v>1</v>
      </c>
      <c r="C8" s="15" t="s">
        <v>100</v>
      </c>
    </row>
    <row r="9" spans="1:3">
      <c r="A9" s="14" t="s">
        <v>43</v>
      </c>
      <c r="B9" s="15">
        <v>5</v>
      </c>
      <c r="C9" s="15" t="s">
        <v>101</v>
      </c>
    </row>
    <row r="10" spans="1:3">
      <c r="A10" s="16" t="s">
        <v>4</v>
      </c>
      <c r="B10" s="17">
        <v>2</v>
      </c>
      <c r="C10" s="17" t="s">
        <v>102</v>
      </c>
    </row>
    <row r="11" spans="1:3">
      <c r="A11" s="18" t="s">
        <v>44</v>
      </c>
      <c r="B11" s="19">
        <v>3</v>
      </c>
      <c r="C11" s="19" t="s">
        <v>103</v>
      </c>
    </row>
    <row r="12" spans="1:3">
      <c r="A12" s="20" t="s">
        <v>45</v>
      </c>
      <c r="B12" s="21">
        <v>0</v>
      </c>
      <c r="C12" s="21" t="s">
        <v>104</v>
      </c>
    </row>
    <row r="13" spans="1:3">
      <c r="A13" s="14" t="s">
        <v>67</v>
      </c>
      <c r="B13" s="15">
        <v>0</v>
      </c>
      <c r="C13" s="15" t="s">
        <v>105</v>
      </c>
    </row>
    <row r="14" spans="1:3">
      <c r="A14" s="14" t="s">
        <v>46</v>
      </c>
      <c r="B14" s="15">
        <v>33</v>
      </c>
      <c r="C14" s="15" t="s">
        <v>106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4" customWidth="1"/>
    <col min="2" max="2" width="16" customWidth="1"/>
    <col min="3" max="3" width="55" customWidth="1"/>
    <col min="4" max="4" width="18" customWidth="1"/>
    <col min="5" max="6" width="14" customWidth="1"/>
    <col min="7" max="7" width="12" customWidth="1"/>
    <col min="8" max="8" width="14" customWidth="1"/>
    <col min="9" max="9" width="12" customWidth="1"/>
  </cols>
  <sheetData>
    <row r="1" spans="1:9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s="2">
        <v>5001</v>
      </c>
      <c r="B2" s="2" t="s">
        <v>116</v>
      </c>
      <c r="C2" s="4" t="s">
        <v>117</v>
      </c>
      <c r="D2" s="2" t="s">
        <v>118</v>
      </c>
      <c r="E2" s="3">
        <v>45664</v>
      </c>
      <c r="F2" s="3">
        <v>45958</v>
      </c>
      <c r="G2" s="2" t="s">
        <v>119</v>
      </c>
      <c r="H2" s="8" t="s">
        <v>4</v>
      </c>
      <c r="I2" s="9">
        <f t="shared" ref="I2:I65" si="0">IF(F2="","",F2-E2)</f>
        <v>294</v>
      </c>
    </row>
    <row r="3" spans="1:9">
      <c r="A3" s="2">
        <v>5002</v>
      </c>
      <c r="B3" s="2" t="s">
        <v>116</v>
      </c>
      <c r="C3" s="4" t="s">
        <v>120</v>
      </c>
      <c r="D3" s="2" t="s">
        <v>118</v>
      </c>
      <c r="E3" s="3">
        <v>45664</v>
      </c>
      <c r="F3" s="3">
        <v>45855</v>
      </c>
      <c r="G3" s="2" t="s">
        <v>119</v>
      </c>
      <c r="H3" s="10" t="s">
        <v>44</v>
      </c>
      <c r="I3" s="9">
        <f t="shared" si="0"/>
        <v>191</v>
      </c>
    </row>
    <row r="4" spans="1:9">
      <c r="A4" s="2">
        <v>5003</v>
      </c>
      <c r="B4" s="2" t="s">
        <v>121</v>
      </c>
      <c r="C4" s="4" t="s">
        <v>122</v>
      </c>
      <c r="D4" s="2" t="s">
        <v>118</v>
      </c>
      <c r="E4" s="3">
        <v>45664</v>
      </c>
      <c r="F4" s="3">
        <v>45772</v>
      </c>
      <c r="G4" s="2" t="s">
        <v>119</v>
      </c>
      <c r="H4" s="8" t="s">
        <v>4</v>
      </c>
      <c r="I4" s="9">
        <f t="shared" si="0"/>
        <v>108</v>
      </c>
    </row>
    <row r="5" spans="1:9">
      <c r="A5" s="2">
        <v>5004</v>
      </c>
      <c r="B5" s="2" t="s">
        <v>121</v>
      </c>
      <c r="C5" s="4" t="s">
        <v>123</v>
      </c>
      <c r="D5" s="2" t="s">
        <v>118</v>
      </c>
      <c r="E5" s="3">
        <v>45664</v>
      </c>
      <c r="F5" s="3">
        <v>45772</v>
      </c>
      <c r="G5" s="2" t="s">
        <v>119</v>
      </c>
      <c r="H5" s="8" t="s">
        <v>4</v>
      </c>
      <c r="I5" s="9">
        <f t="shared" si="0"/>
        <v>108</v>
      </c>
    </row>
    <row r="6" spans="1:9">
      <c r="A6" s="2">
        <v>5005</v>
      </c>
      <c r="B6" s="2" t="s">
        <v>116</v>
      </c>
      <c r="C6" s="4" t="s">
        <v>124</v>
      </c>
      <c r="D6" s="2" t="s">
        <v>118</v>
      </c>
      <c r="E6" s="3">
        <v>45665</v>
      </c>
      <c r="F6" s="3">
        <v>46111</v>
      </c>
      <c r="G6" s="2" t="s">
        <v>119</v>
      </c>
      <c r="H6" s="8" t="s">
        <v>4</v>
      </c>
      <c r="I6" s="9">
        <f t="shared" si="0"/>
        <v>446</v>
      </c>
    </row>
    <row r="7" spans="1:9">
      <c r="A7" s="2">
        <v>5006</v>
      </c>
      <c r="B7" s="2" t="s">
        <v>116</v>
      </c>
      <c r="C7" s="4" t="s">
        <v>125</v>
      </c>
      <c r="D7" s="2" t="s">
        <v>118</v>
      </c>
      <c r="E7" s="3">
        <v>45665</v>
      </c>
      <c r="F7" s="3">
        <v>45838</v>
      </c>
      <c r="G7" s="2" t="s">
        <v>119</v>
      </c>
      <c r="H7" s="10" t="s">
        <v>44</v>
      </c>
      <c r="I7" s="9">
        <f t="shared" si="0"/>
        <v>173</v>
      </c>
    </row>
    <row r="8" spans="1:9">
      <c r="A8" s="2">
        <v>5007</v>
      </c>
      <c r="B8" s="2" t="s">
        <v>116</v>
      </c>
      <c r="C8" s="4" t="s">
        <v>126</v>
      </c>
      <c r="D8" s="2" t="s">
        <v>118</v>
      </c>
      <c r="E8" s="3">
        <v>45670</v>
      </c>
      <c r="F8" s="3">
        <v>46050</v>
      </c>
      <c r="G8" s="2" t="s">
        <v>119</v>
      </c>
      <c r="H8" s="10" t="s">
        <v>44</v>
      </c>
      <c r="I8" s="9">
        <f t="shared" si="0"/>
        <v>380</v>
      </c>
    </row>
    <row r="9" spans="1:9">
      <c r="A9" s="2">
        <v>5008</v>
      </c>
      <c r="B9" s="2" t="s">
        <v>121</v>
      </c>
      <c r="C9" s="4" t="s">
        <v>127</v>
      </c>
      <c r="D9" s="2" t="s">
        <v>118</v>
      </c>
      <c r="E9" s="3">
        <v>45670</v>
      </c>
      <c r="F9" s="3">
        <v>45772</v>
      </c>
      <c r="G9" s="2" t="s">
        <v>119</v>
      </c>
      <c r="H9" s="8" t="s">
        <v>4</v>
      </c>
      <c r="I9" s="9">
        <f t="shared" si="0"/>
        <v>102</v>
      </c>
    </row>
    <row r="10" spans="1:9">
      <c r="A10" s="2">
        <v>5009</v>
      </c>
      <c r="B10" s="2" t="s">
        <v>121</v>
      </c>
      <c r="C10" s="4" t="s">
        <v>128</v>
      </c>
      <c r="D10" s="2" t="s">
        <v>129</v>
      </c>
      <c r="E10" s="3">
        <v>45671</v>
      </c>
      <c r="F10" s="3">
        <v>45772</v>
      </c>
      <c r="G10" s="2" t="s">
        <v>119</v>
      </c>
      <c r="H10" s="8" t="s">
        <v>4</v>
      </c>
      <c r="I10" s="9">
        <f t="shared" si="0"/>
        <v>101</v>
      </c>
    </row>
    <row r="11" spans="1:9">
      <c r="A11" s="2">
        <v>5010</v>
      </c>
      <c r="B11" s="2" t="s">
        <v>116</v>
      </c>
      <c r="C11" s="4" t="s">
        <v>130</v>
      </c>
      <c r="D11" s="2" t="s">
        <v>118</v>
      </c>
      <c r="E11" s="3">
        <v>45671</v>
      </c>
      <c r="F11" s="3">
        <v>45855</v>
      </c>
      <c r="G11" s="2" t="s">
        <v>119</v>
      </c>
      <c r="H11" s="8" t="s">
        <v>4</v>
      </c>
      <c r="I11" s="9">
        <f t="shared" si="0"/>
        <v>184</v>
      </c>
    </row>
    <row r="12" ht="30" spans="1:9">
      <c r="A12" s="2">
        <v>5011</v>
      </c>
      <c r="B12" s="2" t="s">
        <v>116</v>
      </c>
      <c r="C12" s="4" t="s">
        <v>131</v>
      </c>
      <c r="D12" s="2" t="s">
        <v>118</v>
      </c>
      <c r="E12" s="3">
        <v>45671</v>
      </c>
      <c r="F12" s="3">
        <v>45958</v>
      </c>
      <c r="G12" s="2" t="s">
        <v>119</v>
      </c>
      <c r="H12" s="8" t="s">
        <v>4</v>
      </c>
      <c r="I12" s="9">
        <f t="shared" si="0"/>
        <v>287</v>
      </c>
    </row>
    <row r="13" spans="1:9">
      <c r="A13" s="2">
        <v>5012</v>
      </c>
      <c r="B13" s="2" t="s">
        <v>121</v>
      </c>
      <c r="C13" s="4" t="s">
        <v>132</v>
      </c>
      <c r="D13" s="2" t="s">
        <v>118</v>
      </c>
      <c r="E13" s="3">
        <v>45671</v>
      </c>
      <c r="F13" s="3">
        <v>45772</v>
      </c>
      <c r="G13" s="2" t="s">
        <v>119</v>
      </c>
      <c r="H13" s="8" t="s">
        <v>4</v>
      </c>
      <c r="I13" s="9">
        <f t="shared" si="0"/>
        <v>101</v>
      </c>
    </row>
    <row r="14" spans="1:9">
      <c r="A14" s="2">
        <v>5013</v>
      </c>
      <c r="B14" s="2" t="s">
        <v>121</v>
      </c>
      <c r="C14" s="4" t="s">
        <v>133</v>
      </c>
      <c r="D14" s="2" t="s">
        <v>118</v>
      </c>
      <c r="E14" s="3">
        <v>45678</v>
      </c>
      <c r="F14" s="3">
        <v>45772</v>
      </c>
      <c r="G14" s="2" t="s">
        <v>119</v>
      </c>
      <c r="H14" s="8" t="s">
        <v>4</v>
      </c>
      <c r="I14" s="9">
        <f t="shared" si="0"/>
        <v>94</v>
      </c>
    </row>
    <row r="15" spans="1:9">
      <c r="A15" s="2">
        <v>5014</v>
      </c>
      <c r="B15" s="2" t="s">
        <v>121</v>
      </c>
      <c r="C15" s="4" t="s">
        <v>134</v>
      </c>
      <c r="D15" s="2" t="s">
        <v>118</v>
      </c>
      <c r="E15" s="3">
        <v>45680</v>
      </c>
      <c r="F15" s="3">
        <v>45772</v>
      </c>
      <c r="G15" s="2" t="s">
        <v>119</v>
      </c>
      <c r="H15" s="8" t="s">
        <v>4</v>
      </c>
      <c r="I15" s="9">
        <f t="shared" si="0"/>
        <v>92</v>
      </c>
    </row>
    <row r="16" spans="1:9">
      <c r="A16" s="2">
        <v>5015</v>
      </c>
      <c r="B16" s="2" t="s">
        <v>121</v>
      </c>
      <c r="C16" s="4" t="s">
        <v>135</v>
      </c>
      <c r="D16" s="2" t="s">
        <v>118</v>
      </c>
      <c r="E16" s="3">
        <v>45681</v>
      </c>
      <c r="F16" s="3">
        <v>45772</v>
      </c>
      <c r="G16" s="2" t="s">
        <v>119</v>
      </c>
      <c r="H16" s="8" t="s">
        <v>4</v>
      </c>
      <c r="I16" s="9">
        <f t="shared" si="0"/>
        <v>91</v>
      </c>
    </row>
    <row r="17" spans="1:9">
      <c r="A17" s="2">
        <v>5016</v>
      </c>
      <c r="B17" s="2" t="s">
        <v>121</v>
      </c>
      <c r="C17" s="4" t="s">
        <v>136</v>
      </c>
      <c r="D17" s="2" t="s">
        <v>118</v>
      </c>
      <c r="E17" s="3">
        <v>45672</v>
      </c>
      <c r="F17" s="3">
        <v>45772</v>
      </c>
      <c r="G17" s="2" t="s">
        <v>119</v>
      </c>
      <c r="H17" s="8" t="s">
        <v>4</v>
      </c>
      <c r="I17" s="9">
        <f t="shared" si="0"/>
        <v>100</v>
      </c>
    </row>
    <row r="18" spans="1:9">
      <c r="A18" s="2">
        <v>5017</v>
      </c>
      <c r="B18" s="2" t="s">
        <v>121</v>
      </c>
      <c r="C18" s="4" t="s">
        <v>137</v>
      </c>
      <c r="D18" s="2" t="s">
        <v>118</v>
      </c>
      <c r="E18" s="3">
        <v>45681</v>
      </c>
      <c r="F18" s="3">
        <v>45772</v>
      </c>
      <c r="G18" s="2" t="s">
        <v>119</v>
      </c>
      <c r="H18" s="8" t="s">
        <v>4</v>
      </c>
      <c r="I18" s="9">
        <f t="shared" si="0"/>
        <v>91</v>
      </c>
    </row>
    <row r="19" spans="1:9">
      <c r="A19" s="2">
        <v>5018</v>
      </c>
      <c r="B19" s="2" t="s">
        <v>121</v>
      </c>
      <c r="C19" s="4" t="s">
        <v>138</v>
      </c>
      <c r="D19" s="2" t="s">
        <v>118</v>
      </c>
      <c r="E19" s="3">
        <v>45682</v>
      </c>
      <c r="F19" s="3">
        <v>45772</v>
      </c>
      <c r="G19" s="2" t="s">
        <v>119</v>
      </c>
      <c r="H19" s="8" t="s">
        <v>4</v>
      </c>
      <c r="I19" s="9">
        <f t="shared" si="0"/>
        <v>90</v>
      </c>
    </row>
    <row r="20" spans="1:9">
      <c r="A20" s="2">
        <v>5019</v>
      </c>
      <c r="B20" s="2" t="s">
        <v>121</v>
      </c>
      <c r="C20" s="4" t="s">
        <v>139</v>
      </c>
      <c r="D20" s="2" t="s">
        <v>118</v>
      </c>
      <c r="E20" s="3">
        <v>45688</v>
      </c>
      <c r="F20" s="3">
        <v>45772</v>
      </c>
      <c r="G20" s="2" t="s">
        <v>119</v>
      </c>
      <c r="H20" s="8" t="s">
        <v>4</v>
      </c>
      <c r="I20" s="9">
        <f t="shared" si="0"/>
        <v>84</v>
      </c>
    </row>
    <row r="21" spans="1:9">
      <c r="A21" s="2">
        <v>5020</v>
      </c>
      <c r="B21" s="2" t="s">
        <v>116</v>
      </c>
      <c r="C21" s="4" t="s">
        <v>140</v>
      </c>
      <c r="D21" s="2" t="s">
        <v>118</v>
      </c>
      <c r="E21" s="3">
        <v>45688</v>
      </c>
      <c r="F21" s="3">
        <v>45838</v>
      </c>
      <c r="G21" s="2" t="s">
        <v>119</v>
      </c>
      <c r="H21" s="8" t="s">
        <v>4</v>
      </c>
      <c r="I21" s="9">
        <f t="shared" si="0"/>
        <v>150</v>
      </c>
    </row>
    <row r="22" spans="1:9">
      <c r="A22" s="2">
        <v>5021</v>
      </c>
      <c r="B22" s="2" t="s">
        <v>121</v>
      </c>
      <c r="C22" s="4" t="s">
        <v>141</v>
      </c>
      <c r="D22" s="2" t="s">
        <v>118</v>
      </c>
      <c r="E22" s="3">
        <v>45693</v>
      </c>
      <c r="F22" s="3">
        <v>45772</v>
      </c>
      <c r="G22" s="2" t="s">
        <v>119</v>
      </c>
      <c r="H22" s="8" t="s">
        <v>4</v>
      </c>
      <c r="I22" s="9">
        <f t="shared" si="0"/>
        <v>79</v>
      </c>
    </row>
    <row r="23" spans="1:9">
      <c r="A23" s="2">
        <v>5022</v>
      </c>
      <c r="B23" s="2" t="s">
        <v>121</v>
      </c>
      <c r="C23" s="4" t="s">
        <v>142</v>
      </c>
      <c r="D23" s="2" t="s">
        <v>118</v>
      </c>
      <c r="E23" s="3">
        <v>45693</v>
      </c>
      <c r="F23" s="3">
        <v>45772</v>
      </c>
      <c r="G23" s="2" t="s">
        <v>119</v>
      </c>
      <c r="H23" s="8" t="s">
        <v>4</v>
      </c>
      <c r="I23" s="9">
        <f t="shared" si="0"/>
        <v>79</v>
      </c>
    </row>
    <row r="24" spans="1:9">
      <c r="A24" s="2">
        <v>5023</v>
      </c>
      <c r="B24" s="2" t="s">
        <v>121</v>
      </c>
      <c r="C24" s="4" t="s">
        <v>143</v>
      </c>
      <c r="D24" s="2" t="s">
        <v>118</v>
      </c>
      <c r="E24" s="3">
        <v>45700</v>
      </c>
      <c r="F24" s="3">
        <v>45958</v>
      </c>
      <c r="G24" s="2" t="s">
        <v>119</v>
      </c>
      <c r="H24" s="10" t="s">
        <v>44</v>
      </c>
      <c r="I24" s="9">
        <f t="shared" si="0"/>
        <v>258</v>
      </c>
    </row>
    <row r="25" spans="1:9">
      <c r="A25" s="2">
        <v>5024</v>
      </c>
      <c r="B25" s="2" t="s">
        <v>121</v>
      </c>
      <c r="C25" s="4" t="s">
        <v>144</v>
      </c>
      <c r="D25" s="2" t="s">
        <v>129</v>
      </c>
      <c r="E25" s="3">
        <v>45706</v>
      </c>
      <c r="F25" s="3">
        <v>45772</v>
      </c>
      <c r="G25" s="2" t="s">
        <v>119</v>
      </c>
      <c r="H25" s="8" t="s">
        <v>4</v>
      </c>
      <c r="I25" s="9">
        <f t="shared" si="0"/>
        <v>66</v>
      </c>
    </row>
    <row r="26" spans="1:9">
      <c r="A26" s="2">
        <v>5025</v>
      </c>
      <c r="B26" s="2" t="s">
        <v>116</v>
      </c>
      <c r="C26" s="4" t="s">
        <v>145</v>
      </c>
      <c r="D26" s="2" t="s">
        <v>118</v>
      </c>
      <c r="E26" s="3">
        <v>45706</v>
      </c>
      <c r="F26" s="3">
        <v>46080</v>
      </c>
      <c r="G26" s="2" t="s">
        <v>119</v>
      </c>
      <c r="H26" s="8" t="s">
        <v>4</v>
      </c>
      <c r="I26" s="9">
        <f t="shared" si="0"/>
        <v>374</v>
      </c>
    </row>
    <row r="27" spans="1:9">
      <c r="A27" s="2">
        <v>5026</v>
      </c>
      <c r="B27" s="2" t="s">
        <v>116</v>
      </c>
      <c r="C27" s="4" t="s">
        <v>146</v>
      </c>
      <c r="D27" s="2" t="s">
        <v>118</v>
      </c>
      <c r="E27" s="3">
        <v>45706</v>
      </c>
      <c r="F27" s="3">
        <v>46111</v>
      </c>
      <c r="G27" s="2" t="s">
        <v>119</v>
      </c>
      <c r="H27" s="8" t="s">
        <v>4</v>
      </c>
      <c r="I27" s="9">
        <f t="shared" si="0"/>
        <v>405</v>
      </c>
    </row>
    <row r="28" spans="1:9">
      <c r="A28" s="2">
        <v>5027</v>
      </c>
      <c r="B28" s="2" t="s">
        <v>116</v>
      </c>
      <c r="C28" s="4" t="s">
        <v>147</v>
      </c>
      <c r="D28" s="2" t="s">
        <v>118</v>
      </c>
      <c r="E28" s="3">
        <v>45707</v>
      </c>
      <c r="F28" s="3">
        <v>45812</v>
      </c>
      <c r="G28" s="2" t="s">
        <v>119</v>
      </c>
      <c r="H28" s="10" t="s">
        <v>44</v>
      </c>
      <c r="I28" s="9">
        <f t="shared" si="0"/>
        <v>105</v>
      </c>
    </row>
    <row r="29" spans="1:9">
      <c r="A29" s="2">
        <v>5028</v>
      </c>
      <c r="B29" s="2" t="s">
        <v>116</v>
      </c>
      <c r="C29" s="4" t="s">
        <v>148</v>
      </c>
      <c r="D29" s="2" t="s">
        <v>118</v>
      </c>
      <c r="E29" s="3">
        <v>45712</v>
      </c>
      <c r="F29" s="3">
        <v>46050</v>
      </c>
      <c r="G29" s="2" t="s">
        <v>119</v>
      </c>
      <c r="H29" s="8" t="s">
        <v>4</v>
      </c>
      <c r="I29" s="9">
        <f t="shared" si="0"/>
        <v>338</v>
      </c>
    </row>
    <row r="30" spans="1:9">
      <c r="A30" s="2">
        <v>5029</v>
      </c>
      <c r="B30" s="2" t="s">
        <v>116</v>
      </c>
      <c r="C30" s="4" t="s">
        <v>149</v>
      </c>
      <c r="D30" s="2" t="s">
        <v>118</v>
      </c>
      <c r="E30" s="3">
        <v>45714</v>
      </c>
      <c r="F30" s="3">
        <v>45958</v>
      </c>
      <c r="G30" s="2" t="s">
        <v>119</v>
      </c>
      <c r="H30" s="8" t="s">
        <v>4</v>
      </c>
      <c r="I30" s="9">
        <f t="shared" si="0"/>
        <v>244</v>
      </c>
    </row>
    <row r="31" spans="1:9">
      <c r="A31" s="2">
        <v>5030</v>
      </c>
      <c r="B31" s="2" t="s">
        <v>116</v>
      </c>
      <c r="C31" s="4" t="s">
        <v>150</v>
      </c>
      <c r="D31" s="2" t="s">
        <v>118</v>
      </c>
      <c r="E31" s="3">
        <v>45714</v>
      </c>
      <c r="F31" s="3">
        <v>45958</v>
      </c>
      <c r="G31" s="2" t="s">
        <v>119</v>
      </c>
      <c r="H31" s="8" t="s">
        <v>4</v>
      </c>
      <c r="I31" s="9">
        <f t="shared" si="0"/>
        <v>244</v>
      </c>
    </row>
    <row r="32" spans="1:9">
      <c r="A32" s="2">
        <v>5031</v>
      </c>
      <c r="B32" s="2" t="s">
        <v>121</v>
      </c>
      <c r="C32" s="4" t="s">
        <v>151</v>
      </c>
      <c r="D32" s="2" t="s">
        <v>118</v>
      </c>
      <c r="E32" s="3">
        <v>45700</v>
      </c>
      <c r="F32" s="3">
        <v>45772</v>
      </c>
      <c r="G32" s="2" t="s">
        <v>119</v>
      </c>
      <c r="H32" s="10" t="s">
        <v>44</v>
      </c>
      <c r="I32" s="9">
        <f t="shared" si="0"/>
        <v>72</v>
      </c>
    </row>
    <row r="33" ht="30" spans="1:9">
      <c r="A33" s="2">
        <v>5032</v>
      </c>
      <c r="B33" s="2" t="s">
        <v>116</v>
      </c>
      <c r="C33" s="4" t="s">
        <v>152</v>
      </c>
      <c r="D33" s="2" t="s">
        <v>118</v>
      </c>
      <c r="E33" s="3">
        <v>45719</v>
      </c>
      <c r="F33" s="3">
        <v>45958</v>
      </c>
      <c r="G33" s="2" t="s">
        <v>119</v>
      </c>
      <c r="H33" s="8" t="s">
        <v>4</v>
      </c>
      <c r="I33" s="9">
        <f t="shared" si="0"/>
        <v>239</v>
      </c>
    </row>
    <row r="34" spans="1:9">
      <c r="A34" s="2">
        <v>5033</v>
      </c>
      <c r="B34" s="2" t="s">
        <v>116</v>
      </c>
      <c r="C34" s="4" t="s">
        <v>153</v>
      </c>
      <c r="D34" s="2" t="s">
        <v>118</v>
      </c>
      <c r="E34" s="3">
        <v>45719</v>
      </c>
      <c r="F34" s="3">
        <v>46111</v>
      </c>
      <c r="G34" s="2" t="s">
        <v>119</v>
      </c>
      <c r="H34" s="10" t="s">
        <v>44</v>
      </c>
      <c r="I34" s="9">
        <f t="shared" si="0"/>
        <v>392</v>
      </c>
    </row>
    <row r="35" spans="1:9">
      <c r="A35" s="2">
        <v>5034</v>
      </c>
      <c r="B35" s="2" t="s">
        <v>116</v>
      </c>
      <c r="C35" s="4" t="s">
        <v>154</v>
      </c>
      <c r="D35" s="2" t="s">
        <v>118</v>
      </c>
      <c r="E35" s="3">
        <v>45723</v>
      </c>
      <c r="F35" s="3">
        <v>45958</v>
      </c>
      <c r="G35" s="2" t="s">
        <v>119</v>
      </c>
      <c r="H35" s="8" t="s">
        <v>4</v>
      </c>
      <c r="I35" s="9">
        <f t="shared" si="0"/>
        <v>235</v>
      </c>
    </row>
    <row r="36" spans="1:9">
      <c r="A36" s="2">
        <v>5035</v>
      </c>
      <c r="B36" s="2" t="s">
        <v>116</v>
      </c>
      <c r="C36" s="4" t="s">
        <v>155</v>
      </c>
      <c r="D36" s="2" t="s">
        <v>118</v>
      </c>
      <c r="E36" s="3">
        <v>45726</v>
      </c>
      <c r="F36" s="3">
        <v>46140</v>
      </c>
      <c r="G36" s="2" t="s">
        <v>119</v>
      </c>
      <c r="H36" s="8" t="s">
        <v>4</v>
      </c>
      <c r="I36" s="9">
        <f t="shared" si="0"/>
        <v>414</v>
      </c>
    </row>
    <row r="37" ht="30" spans="1:9">
      <c r="A37" s="2">
        <v>5036</v>
      </c>
      <c r="B37" s="2" t="s">
        <v>116</v>
      </c>
      <c r="C37" s="4" t="s">
        <v>156</v>
      </c>
      <c r="D37" s="2" t="s">
        <v>118</v>
      </c>
      <c r="E37" s="3">
        <v>45734</v>
      </c>
      <c r="F37" s="3">
        <v>45958</v>
      </c>
      <c r="G37" s="2" t="s">
        <v>119</v>
      </c>
      <c r="H37" s="8" t="s">
        <v>4</v>
      </c>
      <c r="I37" s="9">
        <f t="shared" si="0"/>
        <v>224</v>
      </c>
    </row>
    <row r="38" spans="1:9">
      <c r="A38" s="2">
        <v>5037</v>
      </c>
      <c r="B38" s="2" t="s">
        <v>116</v>
      </c>
      <c r="C38" s="4" t="s">
        <v>157</v>
      </c>
      <c r="D38" s="2" t="s">
        <v>118</v>
      </c>
      <c r="E38" s="3">
        <v>45741</v>
      </c>
      <c r="F38" s="3">
        <v>45958</v>
      </c>
      <c r="G38" s="2" t="s">
        <v>119</v>
      </c>
      <c r="H38" s="8" t="s">
        <v>4</v>
      </c>
      <c r="I38" s="9">
        <f t="shared" si="0"/>
        <v>217</v>
      </c>
    </row>
    <row r="39" spans="1:9">
      <c r="A39" s="2">
        <v>5038</v>
      </c>
      <c r="B39" s="2" t="s">
        <v>116</v>
      </c>
      <c r="C39" s="4" t="s">
        <v>158</v>
      </c>
      <c r="D39" s="2" t="s">
        <v>118</v>
      </c>
      <c r="E39" s="3">
        <v>45741</v>
      </c>
      <c r="F39" s="3">
        <v>46050</v>
      </c>
      <c r="G39" s="2" t="s">
        <v>119</v>
      </c>
      <c r="H39" s="8" t="s">
        <v>4</v>
      </c>
      <c r="I39" s="9">
        <f t="shared" si="0"/>
        <v>309</v>
      </c>
    </row>
    <row r="40" spans="1:9">
      <c r="A40" s="2">
        <v>5039</v>
      </c>
      <c r="B40" s="2" t="s">
        <v>121</v>
      </c>
      <c r="C40" s="4" t="s">
        <v>159</v>
      </c>
      <c r="D40" s="2" t="s">
        <v>118</v>
      </c>
      <c r="E40" s="3">
        <v>45741</v>
      </c>
      <c r="F40" s="3">
        <v>45809</v>
      </c>
      <c r="G40" s="2" t="s">
        <v>119</v>
      </c>
      <c r="H40" s="8" t="s">
        <v>4</v>
      </c>
      <c r="I40" s="9">
        <f t="shared" si="0"/>
        <v>68</v>
      </c>
    </row>
    <row r="41" spans="1:9">
      <c r="A41" s="2">
        <v>5040</v>
      </c>
      <c r="B41" s="2" t="s">
        <v>121</v>
      </c>
      <c r="C41" s="4" t="s">
        <v>160</v>
      </c>
      <c r="D41" s="2" t="s">
        <v>118</v>
      </c>
      <c r="E41" s="3">
        <v>45733</v>
      </c>
      <c r="F41" s="3">
        <v>45809</v>
      </c>
      <c r="G41" s="2" t="s">
        <v>119</v>
      </c>
      <c r="H41" s="8" t="s">
        <v>4</v>
      </c>
      <c r="I41" s="9">
        <f t="shared" si="0"/>
        <v>76</v>
      </c>
    </row>
    <row r="42" spans="1:9">
      <c r="A42" s="2">
        <v>5041</v>
      </c>
      <c r="B42" s="2" t="s">
        <v>121</v>
      </c>
      <c r="C42" s="4" t="s">
        <v>161</v>
      </c>
      <c r="D42" s="2" t="s">
        <v>118</v>
      </c>
      <c r="E42" s="3">
        <v>45734</v>
      </c>
      <c r="F42" s="3">
        <v>45809</v>
      </c>
      <c r="G42" s="2" t="s">
        <v>119</v>
      </c>
      <c r="H42" s="8" t="s">
        <v>4</v>
      </c>
      <c r="I42" s="9">
        <f t="shared" si="0"/>
        <v>75</v>
      </c>
    </row>
    <row r="43" spans="1:9">
      <c r="A43" s="2">
        <v>5042</v>
      </c>
      <c r="B43" s="2" t="s">
        <v>121</v>
      </c>
      <c r="C43" s="4" t="s">
        <v>162</v>
      </c>
      <c r="D43" s="2" t="s">
        <v>118</v>
      </c>
      <c r="E43" s="3">
        <v>45735</v>
      </c>
      <c r="F43" s="3"/>
      <c r="G43" s="2" t="s">
        <v>119</v>
      </c>
      <c r="H43" s="11" t="s">
        <v>5</v>
      </c>
      <c r="I43" s="9" t="str">
        <f t="shared" si="0"/>
        <v/>
      </c>
    </row>
    <row r="44" spans="1:9">
      <c r="A44" s="2">
        <v>5043</v>
      </c>
      <c r="B44" s="2" t="s">
        <v>116</v>
      </c>
      <c r="C44" s="4" t="s">
        <v>163</v>
      </c>
      <c r="D44" s="2" t="s">
        <v>118</v>
      </c>
      <c r="E44" s="3">
        <v>45748</v>
      </c>
      <c r="F44" s="3">
        <v>45778</v>
      </c>
      <c r="G44" s="2" t="s">
        <v>119</v>
      </c>
      <c r="H44" s="8" t="s">
        <v>4</v>
      </c>
      <c r="I44" s="9">
        <f t="shared" si="0"/>
        <v>30</v>
      </c>
    </row>
    <row r="45" spans="1:9">
      <c r="A45" s="2">
        <v>5044</v>
      </c>
      <c r="B45" s="2" t="s">
        <v>116</v>
      </c>
      <c r="C45" s="4" t="s">
        <v>164</v>
      </c>
      <c r="D45" s="2" t="s">
        <v>118</v>
      </c>
      <c r="E45" s="3">
        <v>45748</v>
      </c>
      <c r="F45" s="3">
        <v>46140</v>
      </c>
      <c r="G45" s="2" t="s">
        <v>119</v>
      </c>
      <c r="H45" s="8" t="s">
        <v>4</v>
      </c>
      <c r="I45" s="9">
        <f t="shared" si="0"/>
        <v>392</v>
      </c>
    </row>
    <row r="46" spans="1:9">
      <c r="A46" s="2">
        <v>5045</v>
      </c>
      <c r="B46" s="2" t="s">
        <v>121</v>
      </c>
      <c r="C46" s="4" t="s">
        <v>165</v>
      </c>
      <c r="D46" s="2" t="s">
        <v>118</v>
      </c>
      <c r="E46" s="3">
        <v>45748</v>
      </c>
      <c r="F46" s="3">
        <v>45802</v>
      </c>
      <c r="G46" s="2" t="s">
        <v>119</v>
      </c>
      <c r="H46" s="8" t="s">
        <v>4</v>
      </c>
      <c r="I46" s="9">
        <f t="shared" si="0"/>
        <v>54</v>
      </c>
    </row>
    <row r="47" spans="1:9">
      <c r="A47" s="2">
        <v>5046</v>
      </c>
      <c r="B47" s="2" t="s">
        <v>121</v>
      </c>
      <c r="C47" s="4" t="s">
        <v>166</v>
      </c>
      <c r="D47" s="2" t="s">
        <v>118</v>
      </c>
      <c r="E47" s="3">
        <v>45751</v>
      </c>
      <c r="F47" s="3">
        <v>45861</v>
      </c>
      <c r="G47" s="2" t="s">
        <v>119</v>
      </c>
      <c r="H47" s="10" t="s">
        <v>44</v>
      </c>
      <c r="I47" s="9">
        <f t="shared" si="0"/>
        <v>110</v>
      </c>
    </row>
    <row r="48" spans="1:9">
      <c r="A48" s="2">
        <v>5047</v>
      </c>
      <c r="B48" s="2" t="s">
        <v>121</v>
      </c>
      <c r="C48" s="4" t="s">
        <v>167</v>
      </c>
      <c r="D48" s="2" t="s">
        <v>118</v>
      </c>
      <c r="E48" s="3">
        <v>45761</v>
      </c>
      <c r="F48" s="3">
        <v>45809</v>
      </c>
      <c r="G48" s="2" t="s">
        <v>119</v>
      </c>
      <c r="H48" s="8" t="s">
        <v>4</v>
      </c>
      <c r="I48" s="9">
        <f t="shared" si="0"/>
        <v>48</v>
      </c>
    </row>
    <row r="49" spans="1:9">
      <c r="A49" s="2">
        <v>5048</v>
      </c>
      <c r="B49" s="2" t="s">
        <v>121</v>
      </c>
      <c r="C49" s="4" t="s">
        <v>168</v>
      </c>
      <c r="D49" s="2" t="s">
        <v>118</v>
      </c>
      <c r="E49" s="3">
        <v>45768</v>
      </c>
      <c r="F49" s="3">
        <v>45855</v>
      </c>
      <c r="G49" s="2" t="s">
        <v>119</v>
      </c>
      <c r="H49" s="8" t="s">
        <v>4</v>
      </c>
      <c r="I49" s="9">
        <f t="shared" si="0"/>
        <v>87</v>
      </c>
    </row>
    <row r="50" spans="1:9">
      <c r="A50" s="2">
        <v>5049</v>
      </c>
      <c r="B50" s="2" t="s">
        <v>121</v>
      </c>
      <c r="C50" s="4" t="s">
        <v>169</v>
      </c>
      <c r="D50" s="2" t="s">
        <v>118</v>
      </c>
      <c r="E50" s="3">
        <v>45769</v>
      </c>
      <c r="F50" s="3">
        <v>45855</v>
      </c>
      <c r="G50" s="2" t="s">
        <v>119</v>
      </c>
      <c r="H50" s="8" t="s">
        <v>4</v>
      </c>
      <c r="I50" s="9">
        <f t="shared" si="0"/>
        <v>86</v>
      </c>
    </row>
    <row r="51" spans="1:9">
      <c r="A51" s="2">
        <v>5050</v>
      </c>
      <c r="B51" s="2" t="s">
        <v>121</v>
      </c>
      <c r="C51" s="4" t="s">
        <v>170</v>
      </c>
      <c r="D51" s="2" t="s">
        <v>118</v>
      </c>
      <c r="E51" s="3">
        <v>45772</v>
      </c>
      <c r="F51" s="3">
        <v>46111</v>
      </c>
      <c r="G51" s="2" t="s">
        <v>119</v>
      </c>
      <c r="H51" s="10" t="s">
        <v>44</v>
      </c>
      <c r="I51" s="9">
        <f t="shared" si="0"/>
        <v>339</v>
      </c>
    </row>
    <row r="52" spans="1:9">
      <c r="A52" s="2">
        <v>5051</v>
      </c>
      <c r="B52" s="2" t="s">
        <v>121</v>
      </c>
      <c r="C52" s="4" t="s">
        <v>171</v>
      </c>
      <c r="D52" s="2" t="s">
        <v>172</v>
      </c>
      <c r="E52" s="3">
        <v>45775</v>
      </c>
      <c r="F52" s="3">
        <v>45812</v>
      </c>
      <c r="G52" s="2" t="s">
        <v>119</v>
      </c>
      <c r="H52" s="10" t="s">
        <v>44</v>
      </c>
      <c r="I52" s="9">
        <f t="shared" si="0"/>
        <v>37</v>
      </c>
    </row>
    <row r="53" spans="1:9">
      <c r="A53" s="2">
        <v>5052</v>
      </c>
      <c r="B53" s="2" t="s">
        <v>116</v>
      </c>
      <c r="C53" s="4" t="s">
        <v>173</v>
      </c>
      <c r="D53" s="2" t="s">
        <v>118</v>
      </c>
      <c r="E53" s="3">
        <v>45780</v>
      </c>
      <c r="F53" s="3">
        <v>46080</v>
      </c>
      <c r="G53" s="2" t="s">
        <v>119</v>
      </c>
      <c r="H53" s="8" t="s">
        <v>4</v>
      </c>
      <c r="I53" s="9">
        <f t="shared" si="0"/>
        <v>300</v>
      </c>
    </row>
    <row r="54" spans="1:9">
      <c r="A54" s="2">
        <v>5053</v>
      </c>
      <c r="B54" s="2" t="s">
        <v>121</v>
      </c>
      <c r="C54" s="4" t="s">
        <v>174</v>
      </c>
      <c r="D54" s="2" t="s">
        <v>172</v>
      </c>
      <c r="E54" s="3">
        <v>45801</v>
      </c>
      <c r="F54" s="3">
        <v>45861</v>
      </c>
      <c r="G54" s="2" t="s">
        <v>119</v>
      </c>
      <c r="H54" s="8" t="s">
        <v>4</v>
      </c>
      <c r="I54" s="9">
        <f t="shared" si="0"/>
        <v>60</v>
      </c>
    </row>
    <row r="55" spans="1:9">
      <c r="A55" s="2">
        <v>5054</v>
      </c>
      <c r="B55" s="2" t="s">
        <v>116</v>
      </c>
      <c r="C55" s="4" t="s">
        <v>175</v>
      </c>
      <c r="D55" s="2" t="s">
        <v>118</v>
      </c>
      <c r="E55" s="3">
        <v>45804</v>
      </c>
      <c r="F55" s="3">
        <v>46080</v>
      </c>
      <c r="G55" s="2" t="s">
        <v>119</v>
      </c>
      <c r="H55" s="8" t="s">
        <v>4</v>
      </c>
      <c r="I55" s="9">
        <f t="shared" si="0"/>
        <v>276</v>
      </c>
    </row>
    <row r="56" spans="1:9">
      <c r="A56" s="2">
        <v>5055</v>
      </c>
      <c r="B56" s="2" t="s">
        <v>121</v>
      </c>
      <c r="C56" s="4" t="s">
        <v>176</v>
      </c>
      <c r="D56" s="2" t="s">
        <v>118</v>
      </c>
      <c r="E56" s="3">
        <v>45801</v>
      </c>
      <c r="F56" s="3">
        <v>45861</v>
      </c>
      <c r="G56" s="2" t="s">
        <v>119</v>
      </c>
      <c r="H56" s="8" t="s">
        <v>4</v>
      </c>
      <c r="I56" s="9">
        <f t="shared" si="0"/>
        <v>60</v>
      </c>
    </row>
    <row r="57" spans="1:9">
      <c r="A57" s="2">
        <v>5056</v>
      </c>
      <c r="B57" s="2" t="s">
        <v>121</v>
      </c>
      <c r="C57" s="4" t="s">
        <v>177</v>
      </c>
      <c r="D57" s="2" t="s">
        <v>118</v>
      </c>
      <c r="E57" s="3">
        <v>45801</v>
      </c>
      <c r="F57" s="3">
        <v>45809</v>
      </c>
      <c r="G57" s="2" t="s">
        <v>119</v>
      </c>
      <c r="H57" s="8" t="s">
        <v>4</v>
      </c>
      <c r="I57" s="9">
        <f t="shared" si="0"/>
        <v>8</v>
      </c>
    </row>
    <row r="58" spans="1:9">
      <c r="A58" s="2">
        <v>5057</v>
      </c>
      <c r="B58" s="2" t="s">
        <v>121</v>
      </c>
      <c r="C58" s="4" t="s">
        <v>178</v>
      </c>
      <c r="D58" s="2" t="s">
        <v>118</v>
      </c>
      <c r="E58" s="3">
        <v>45801</v>
      </c>
      <c r="F58" s="3">
        <v>45861</v>
      </c>
      <c r="G58" s="2" t="s">
        <v>119</v>
      </c>
      <c r="H58" s="10" t="s">
        <v>44</v>
      </c>
      <c r="I58" s="9">
        <f t="shared" si="0"/>
        <v>60</v>
      </c>
    </row>
    <row r="59" spans="1:9">
      <c r="A59" s="2">
        <v>5058</v>
      </c>
      <c r="B59" s="2" t="s">
        <v>121</v>
      </c>
      <c r="C59" s="4" t="s">
        <v>179</v>
      </c>
      <c r="D59" s="2" t="s">
        <v>118</v>
      </c>
      <c r="E59" s="3">
        <v>45809</v>
      </c>
      <c r="F59" s="3">
        <v>45899</v>
      </c>
      <c r="G59" s="2" t="s">
        <v>119</v>
      </c>
      <c r="H59" s="8" t="s">
        <v>4</v>
      </c>
      <c r="I59" s="9">
        <f t="shared" si="0"/>
        <v>90</v>
      </c>
    </row>
    <row r="60" spans="1:9">
      <c r="A60" s="2">
        <v>5059</v>
      </c>
      <c r="B60" s="2" t="s">
        <v>116</v>
      </c>
      <c r="C60" s="4" t="s">
        <v>180</v>
      </c>
      <c r="D60" s="2" t="s">
        <v>118</v>
      </c>
      <c r="E60" s="3">
        <v>45809</v>
      </c>
      <c r="F60" s="3">
        <v>45868</v>
      </c>
      <c r="G60" s="2" t="s">
        <v>119</v>
      </c>
      <c r="H60" s="8" t="s">
        <v>4</v>
      </c>
      <c r="I60" s="9">
        <f t="shared" si="0"/>
        <v>59</v>
      </c>
    </row>
    <row r="61" spans="1:9">
      <c r="A61" s="2">
        <v>5060</v>
      </c>
      <c r="B61" s="2" t="s">
        <v>116</v>
      </c>
      <c r="C61" s="4" t="s">
        <v>181</v>
      </c>
      <c r="D61" s="2" t="s">
        <v>118</v>
      </c>
      <c r="E61" s="3">
        <v>45809</v>
      </c>
      <c r="F61" s="3">
        <v>45868</v>
      </c>
      <c r="G61" s="2" t="s">
        <v>119</v>
      </c>
      <c r="H61" s="8" t="s">
        <v>4</v>
      </c>
      <c r="I61" s="9">
        <f t="shared" si="0"/>
        <v>59</v>
      </c>
    </row>
    <row r="62" spans="1:9">
      <c r="A62" s="2">
        <v>5061</v>
      </c>
      <c r="B62" s="2" t="s">
        <v>116</v>
      </c>
      <c r="C62" s="4" t="s">
        <v>182</v>
      </c>
      <c r="D62" s="2" t="s">
        <v>118</v>
      </c>
      <c r="E62" s="3">
        <v>45809</v>
      </c>
      <c r="F62" s="3">
        <v>45958</v>
      </c>
      <c r="G62" s="2" t="s">
        <v>119</v>
      </c>
      <c r="H62" s="8" t="s">
        <v>4</v>
      </c>
      <c r="I62" s="9">
        <f t="shared" si="0"/>
        <v>149</v>
      </c>
    </row>
    <row r="63" spans="1:9">
      <c r="A63" s="2">
        <v>5062</v>
      </c>
      <c r="B63" s="2" t="s">
        <v>116</v>
      </c>
      <c r="C63" s="4" t="s">
        <v>183</v>
      </c>
      <c r="D63" s="2" t="s">
        <v>118</v>
      </c>
      <c r="E63" s="3">
        <v>45809</v>
      </c>
      <c r="F63" s="3">
        <v>45861</v>
      </c>
      <c r="G63" s="2" t="s">
        <v>119</v>
      </c>
      <c r="H63" s="10" t="s">
        <v>44</v>
      </c>
      <c r="I63" s="9">
        <f t="shared" si="0"/>
        <v>52</v>
      </c>
    </row>
    <row r="64" spans="1:9">
      <c r="A64" s="2">
        <v>5063</v>
      </c>
      <c r="B64" s="2" t="s">
        <v>116</v>
      </c>
      <c r="C64" s="4" t="s">
        <v>184</v>
      </c>
      <c r="D64" s="2" t="s">
        <v>118</v>
      </c>
      <c r="E64" s="3">
        <v>45809</v>
      </c>
      <c r="F64" s="3">
        <v>46111</v>
      </c>
      <c r="G64" s="2" t="s">
        <v>119</v>
      </c>
      <c r="H64" s="8" t="s">
        <v>4</v>
      </c>
      <c r="I64" s="9">
        <f t="shared" si="0"/>
        <v>302</v>
      </c>
    </row>
    <row r="65" spans="1:9">
      <c r="A65" s="2">
        <v>5064</v>
      </c>
      <c r="B65" s="2" t="s">
        <v>116</v>
      </c>
      <c r="C65" s="4" t="s">
        <v>185</v>
      </c>
      <c r="D65" s="2" t="s">
        <v>118</v>
      </c>
      <c r="E65" s="3">
        <v>45817</v>
      </c>
      <c r="F65" s="3">
        <v>46140</v>
      </c>
      <c r="G65" s="2" t="s">
        <v>119</v>
      </c>
      <c r="H65" s="8" t="s">
        <v>4</v>
      </c>
      <c r="I65" s="9">
        <f t="shared" si="0"/>
        <v>323</v>
      </c>
    </row>
    <row r="66" spans="1:9">
      <c r="A66" s="2">
        <v>5065</v>
      </c>
      <c r="B66" s="2" t="s">
        <v>116</v>
      </c>
      <c r="C66" s="4" t="s">
        <v>186</v>
      </c>
      <c r="D66" s="2" t="s">
        <v>118</v>
      </c>
      <c r="E66" s="3">
        <v>45828</v>
      </c>
      <c r="F66" s="3">
        <v>46140</v>
      </c>
      <c r="G66" s="2" t="s">
        <v>119</v>
      </c>
      <c r="H66" s="8" t="s">
        <v>4</v>
      </c>
      <c r="I66" s="9">
        <f t="shared" ref="I66:I129" si="1">IF(F66="","",F66-E66)</f>
        <v>312</v>
      </c>
    </row>
    <row r="67" spans="1:9">
      <c r="A67" s="2">
        <v>5066</v>
      </c>
      <c r="B67" s="2" t="s">
        <v>121</v>
      </c>
      <c r="C67" s="4" t="s">
        <v>187</v>
      </c>
      <c r="D67" s="2" t="s">
        <v>118</v>
      </c>
      <c r="E67" s="3">
        <v>45832</v>
      </c>
      <c r="F67" s="3">
        <v>45861</v>
      </c>
      <c r="G67" s="2" t="s">
        <v>119</v>
      </c>
      <c r="H67" s="10" t="s">
        <v>44</v>
      </c>
      <c r="I67" s="9">
        <f t="shared" si="1"/>
        <v>29</v>
      </c>
    </row>
    <row r="68" spans="1:9">
      <c r="A68" s="2">
        <v>5067</v>
      </c>
      <c r="B68" s="2" t="s">
        <v>121</v>
      </c>
      <c r="C68" s="4" t="s">
        <v>188</v>
      </c>
      <c r="D68" s="2" t="s">
        <v>118</v>
      </c>
      <c r="E68" s="3">
        <v>45827</v>
      </c>
      <c r="F68" s="3">
        <v>45861</v>
      </c>
      <c r="G68" s="2" t="s">
        <v>119</v>
      </c>
      <c r="H68" s="8" t="s">
        <v>4</v>
      </c>
      <c r="I68" s="9">
        <f t="shared" si="1"/>
        <v>34</v>
      </c>
    </row>
    <row r="69" spans="1:9">
      <c r="A69" s="2">
        <v>5068</v>
      </c>
      <c r="B69" s="2" t="s">
        <v>121</v>
      </c>
      <c r="C69" s="4" t="s">
        <v>189</v>
      </c>
      <c r="D69" s="2" t="s">
        <v>190</v>
      </c>
      <c r="E69" s="3">
        <v>45835</v>
      </c>
      <c r="F69" s="3">
        <v>45861</v>
      </c>
      <c r="G69" s="2" t="s">
        <v>119</v>
      </c>
      <c r="H69" s="8" t="s">
        <v>4</v>
      </c>
      <c r="I69" s="9">
        <f t="shared" si="1"/>
        <v>26</v>
      </c>
    </row>
    <row r="70" spans="1:9">
      <c r="A70" s="2">
        <v>5069</v>
      </c>
      <c r="B70" s="2" t="s">
        <v>121</v>
      </c>
      <c r="C70" s="4" t="s">
        <v>191</v>
      </c>
      <c r="D70" s="2" t="s">
        <v>118</v>
      </c>
      <c r="E70" s="3">
        <v>45850</v>
      </c>
      <c r="F70" s="3">
        <v>45899</v>
      </c>
      <c r="G70" s="2" t="s">
        <v>119</v>
      </c>
      <c r="H70" s="8" t="s">
        <v>4</v>
      </c>
      <c r="I70" s="9">
        <f t="shared" si="1"/>
        <v>49</v>
      </c>
    </row>
    <row r="71" spans="1:9">
      <c r="A71" s="2">
        <v>5070</v>
      </c>
      <c r="B71" s="2" t="s">
        <v>121</v>
      </c>
      <c r="C71" s="4" t="s">
        <v>192</v>
      </c>
      <c r="D71" s="2" t="s">
        <v>118</v>
      </c>
      <c r="E71" s="3">
        <v>45853</v>
      </c>
      <c r="F71" s="3">
        <v>45899</v>
      </c>
      <c r="G71" s="2" t="s">
        <v>119</v>
      </c>
      <c r="H71" s="8" t="s">
        <v>4</v>
      </c>
      <c r="I71" s="9">
        <f t="shared" si="1"/>
        <v>46</v>
      </c>
    </row>
    <row r="72" spans="1:9">
      <c r="A72" s="2">
        <v>5071</v>
      </c>
      <c r="B72" s="2" t="s">
        <v>121</v>
      </c>
      <c r="C72" s="4" t="s">
        <v>193</v>
      </c>
      <c r="D72" s="2" t="s">
        <v>118</v>
      </c>
      <c r="E72" s="3">
        <v>45855</v>
      </c>
      <c r="F72" s="3">
        <v>45924</v>
      </c>
      <c r="G72" s="2" t="s">
        <v>119</v>
      </c>
      <c r="H72" s="8" t="s">
        <v>4</v>
      </c>
      <c r="I72" s="9">
        <f t="shared" si="1"/>
        <v>69</v>
      </c>
    </row>
    <row r="73" spans="1:9">
      <c r="A73" s="2">
        <v>5072</v>
      </c>
      <c r="B73" s="2" t="s">
        <v>121</v>
      </c>
      <c r="C73" s="4" t="s">
        <v>194</v>
      </c>
      <c r="D73" s="2" t="s">
        <v>118</v>
      </c>
      <c r="E73" s="3">
        <v>45855</v>
      </c>
      <c r="F73" s="3">
        <v>45899</v>
      </c>
      <c r="G73" s="2" t="s">
        <v>119</v>
      </c>
      <c r="H73" s="8" t="s">
        <v>4</v>
      </c>
      <c r="I73" s="9">
        <f t="shared" si="1"/>
        <v>44</v>
      </c>
    </row>
    <row r="74" spans="1:9">
      <c r="A74" s="2">
        <v>5073</v>
      </c>
      <c r="B74" s="2" t="s">
        <v>121</v>
      </c>
      <c r="C74" s="4" t="s">
        <v>195</v>
      </c>
      <c r="D74" s="2" t="s">
        <v>118</v>
      </c>
      <c r="E74" s="3">
        <v>45856</v>
      </c>
      <c r="F74" s="3">
        <v>45899</v>
      </c>
      <c r="G74" s="2" t="s">
        <v>119</v>
      </c>
      <c r="H74" s="8" t="s">
        <v>4</v>
      </c>
      <c r="I74" s="9">
        <f t="shared" si="1"/>
        <v>43</v>
      </c>
    </row>
    <row r="75" spans="1:9">
      <c r="A75" s="2">
        <v>5074</v>
      </c>
      <c r="B75" s="2" t="s">
        <v>121</v>
      </c>
      <c r="C75" s="4" t="s">
        <v>186</v>
      </c>
      <c r="D75" s="2" t="s">
        <v>118</v>
      </c>
      <c r="E75" s="3">
        <v>45856</v>
      </c>
      <c r="F75" s="3">
        <v>45890</v>
      </c>
      <c r="G75" s="2" t="s">
        <v>119</v>
      </c>
      <c r="H75" s="8" t="s">
        <v>4</v>
      </c>
      <c r="I75" s="9">
        <f t="shared" si="1"/>
        <v>34</v>
      </c>
    </row>
    <row r="76" spans="1:9">
      <c r="A76" s="2">
        <v>5075</v>
      </c>
      <c r="B76" s="2" t="s">
        <v>121</v>
      </c>
      <c r="C76" s="4" t="s">
        <v>196</v>
      </c>
      <c r="D76" s="2" t="s">
        <v>118</v>
      </c>
      <c r="E76" s="3">
        <v>45861</v>
      </c>
      <c r="F76" s="3">
        <v>45899</v>
      </c>
      <c r="G76" s="2" t="s">
        <v>119</v>
      </c>
      <c r="H76" s="8" t="s">
        <v>4</v>
      </c>
      <c r="I76" s="9">
        <f t="shared" si="1"/>
        <v>38</v>
      </c>
    </row>
    <row r="77" ht="30" spans="1:9">
      <c r="A77" s="2">
        <v>5076</v>
      </c>
      <c r="B77" s="2" t="s">
        <v>116</v>
      </c>
      <c r="C77" s="4" t="s">
        <v>197</v>
      </c>
      <c r="D77" s="2" t="s">
        <v>118</v>
      </c>
      <c r="E77" s="3">
        <v>45871</v>
      </c>
      <c r="F77" s="3">
        <v>46140</v>
      </c>
      <c r="G77" s="2" t="s">
        <v>119</v>
      </c>
      <c r="H77" s="10" t="s">
        <v>44</v>
      </c>
      <c r="I77" s="9">
        <f t="shared" si="1"/>
        <v>269</v>
      </c>
    </row>
    <row r="78" spans="1:9">
      <c r="A78" s="2">
        <v>5077</v>
      </c>
      <c r="B78" s="2" t="s">
        <v>116</v>
      </c>
      <c r="C78" s="4" t="s">
        <v>198</v>
      </c>
      <c r="D78" s="2" t="s">
        <v>118</v>
      </c>
      <c r="E78" s="3">
        <v>45875</v>
      </c>
      <c r="F78" s="3">
        <v>46140</v>
      </c>
      <c r="G78" s="2" t="s">
        <v>119</v>
      </c>
      <c r="H78" s="10" t="s">
        <v>44</v>
      </c>
      <c r="I78" s="9">
        <f t="shared" si="1"/>
        <v>265</v>
      </c>
    </row>
    <row r="79" spans="1:9">
      <c r="A79" s="2">
        <v>5078</v>
      </c>
      <c r="B79" s="2" t="s">
        <v>121</v>
      </c>
      <c r="C79" s="4" t="s">
        <v>199</v>
      </c>
      <c r="D79" s="2" t="s">
        <v>172</v>
      </c>
      <c r="E79" s="3">
        <v>45881</v>
      </c>
      <c r="F79" s="3">
        <v>45989</v>
      </c>
      <c r="G79" s="2" t="s">
        <v>119</v>
      </c>
      <c r="H79" s="8" t="s">
        <v>4</v>
      </c>
      <c r="I79" s="9">
        <f t="shared" si="1"/>
        <v>108</v>
      </c>
    </row>
    <row r="80" spans="1:9">
      <c r="A80" s="2">
        <v>5079</v>
      </c>
      <c r="B80" s="2" t="s">
        <v>121</v>
      </c>
      <c r="C80" s="4" t="s">
        <v>200</v>
      </c>
      <c r="D80" s="2" t="s">
        <v>118</v>
      </c>
      <c r="E80" s="3">
        <v>45887</v>
      </c>
      <c r="F80" s="3">
        <v>45989</v>
      </c>
      <c r="G80" s="2" t="s">
        <v>119</v>
      </c>
      <c r="H80" s="10" t="s">
        <v>44</v>
      </c>
      <c r="I80" s="9">
        <f t="shared" si="1"/>
        <v>102</v>
      </c>
    </row>
    <row r="81" spans="1:9">
      <c r="A81" s="2">
        <v>5080</v>
      </c>
      <c r="B81" s="2" t="s">
        <v>116</v>
      </c>
      <c r="C81" s="4" t="s">
        <v>201</v>
      </c>
      <c r="D81" s="2" t="s">
        <v>118</v>
      </c>
      <c r="E81" s="3">
        <v>45890</v>
      </c>
      <c r="F81" s="3">
        <v>46168</v>
      </c>
      <c r="G81" s="2" t="s">
        <v>119</v>
      </c>
      <c r="H81" s="8" t="s">
        <v>4</v>
      </c>
      <c r="I81" s="9">
        <f t="shared" si="1"/>
        <v>278</v>
      </c>
    </row>
    <row r="82" spans="1:9">
      <c r="A82" s="2">
        <v>5081</v>
      </c>
      <c r="B82" s="2" t="s">
        <v>116</v>
      </c>
      <c r="C82" s="4" t="s">
        <v>202</v>
      </c>
      <c r="D82" s="2" t="s">
        <v>118</v>
      </c>
      <c r="E82" s="3">
        <v>45870</v>
      </c>
      <c r="F82" s="3">
        <v>46050</v>
      </c>
      <c r="G82" s="2" t="s">
        <v>119</v>
      </c>
      <c r="H82" s="8" t="s">
        <v>4</v>
      </c>
      <c r="I82" s="9">
        <f t="shared" si="1"/>
        <v>180</v>
      </c>
    </row>
    <row r="83" spans="1:9">
      <c r="A83" s="2">
        <v>5082</v>
      </c>
      <c r="B83" s="2" t="s">
        <v>121</v>
      </c>
      <c r="C83" s="4" t="s">
        <v>203</v>
      </c>
      <c r="D83" s="2" t="s">
        <v>118</v>
      </c>
      <c r="E83" s="3">
        <v>45883</v>
      </c>
      <c r="F83" s="3">
        <v>45924</v>
      </c>
      <c r="G83" s="2" t="s">
        <v>119</v>
      </c>
      <c r="H83" s="8" t="s">
        <v>4</v>
      </c>
      <c r="I83" s="9">
        <f t="shared" si="1"/>
        <v>41</v>
      </c>
    </row>
    <row r="84" spans="1:9">
      <c r="A84" s="2">
        <v>5083</v>
      </c>
      <c r="B84" s="2" t="s">
        <v>116</v>
      </c>
      <c r="C84" s="4" t="s">
        <v>204</v>
      </c>
      <c r="D84" s="2" t="s">
        <v>118</v>
      </c>
      <c r="E84" s="3">
        <v>45897</v>
      </c>
      <c r="F84" s="3">
        <v>46111</v>
      </c>
      <c r="G84" s="2" t="s">
        <v>119</v>
      </c>
      <c r="H84" s="8" t="s">
        <v>4</v>
      </c>
      <c r="I84" s="9">
        <f t="shared" si="1"/>
        <v>214</v>
      </c>
    </row>
    <row r="85" spans="1:9">
      <c r="A85" s="2">
        <v>5084</v>
      </c>
      <c r="B85" s="2" t="s">
        <v>121</v>
      </c>
      <c r="C85" s="4" t="s">
        <v>205</v>
      </c>
      <c r="D85" s="2" t="s">
        <v>118</v>
      </c>
      <c r="E85" s="3">
        <v>45873</v>
      </c>
      <c r="F85" s="3">
        <v>45958</v>
      </c>
      <c r="G85" s="2" t="s">
        <v>119</v>
      </c>
      <c r="H85" s="8" t="s">
        <v>4</v>
      </c>
      <c r="I85" s="9">
        <f t="shared" si="1"/>
        <v>85</v>
      </c>
    </row>
    <row r="86" spans="1:9">
      <c r="A86" s="2">
        <v>5085</v>
      </c>
      <c r="B86" s="2" t="s">
        <v>121</v>
      </c>
      <c r="C86" s="4" t="s">
        <v>206</v>
      </c>
      <c r="D86" s="2" t="s">
        <v>118</v>
      </c>
      <c r="E86" s="3">
        <v>45891</v>
      </c>
      <c r="F86" s="3">
        <v>45958</v>
      </c>
      <c r="G86" s="2" t="s">
        <v>119</v>
      </c>
      <c r="H86" s="8" t="s">
        <v>4</v>
      </c>
      <c r="I86" s="9">
        <f t="shared" si="1"/>
        <v>67</v>
      </c>
    </row>
    <row r="87" spans="1:9">
      <c r="A87" s="2">
        <v>5086</v>
      </c>
      <c r="B87" s="2" t="s">
        <v>121</v>
      </c>
      <c r="C87" s="4" t="s">
        <v>207</v>
      </c>
      <c r="D87" s="2" t="s">
        <v>118</v>
      </c>
      <c r="E87" s="3">
        <v>45891</v>
      </c>
      <c r="F87" s="3">
        <v>45924</v>
      </c>
      <c r="G87" s="2" t="s">
        <v>119</v>
      </c>
      <c r="H87" s="8" t="s">
        <v>4</v>
      </c>
      <c r="I87" s="9">
        <f t="shared" si="1"/>
        <v>33</v>
      </c>
    </row>
    <row r="88" spans="1:9">
      <c r="A88" s="2">
        <v>5087</v>
      </c>
      <c r="B88" s="2" t="s">
        <v>121</v>
      </c>
      <c r="C88" s="4" t="s">
        <v>208</v>
      </c>
      <c r="D88" s="2" t="s">
        <v>118</v>
      </c>
      <c r="E88" s="3">
        <v>45892</v>
      </c>
      <c r="F88" s="3">
        <v>45958</v>
      </c>
      <c r="G88" s="2" t="s">
        <v>119</v>
      </c>
      <c r="H88" s="8" t="s">
        <v>4</v>
      </c>
      <c r="I88" s="9">
        <f t="shared" si="1"/>
        <v>66</v>
      </c>
    </row>
    <row r="89" spans="1:9">
      <c r="A89" s="2">
        <v>5088</v>
      </c>
      <c r="B89" s="2" t="s">
        <v>116</v>
      </c>
      <c r="C89" s="4" t="s">
        <v>209</v>
      </c>
      <c r="D89" s="2" t="s">
        <v>118</v>
      </c>
      <c r="E89" s="3">
        <v>45904</v>
      </c>
      <c r="F89" s="3">
        <v>46050</v>
      </c>
      <c r="G89" s="2" t="s">
        <v>119</v>
      </c>
      <c r="H89" s="8" t="s">
        <v>4</v>
      </c>
      <c r="I89" s="9">
        <f t="shared" si="1"/>
        <v>146</v>
      </c>
    </row>
    <row r="90" spans="1:9">
      <c r="A90" s="2">
        <v>5089</v>
      </c>
      <c r="B90" s="2" t="s">
        <v>121</v>
      </c>
      <c r="C90" s="4" t="s">
        <v>210</v>
      </c>
      <c r="D90" s="2" t="s">
        <v>118</v>
      </c>
      <c r="E90" s="3">
        <v>45904</v>
      </c>
      <c r="F90" s="3">
        <v>46111</v>
      </c>
      <c r="G90" s="2" t="s">
        <v>119</v>
      </c>
      <c r="H90" s="8" t="s">
        <v>4</v>
      </c>
      <c r="I90" s="9">
        <f t="shared" si="1"/>
        <v>207</v>
      </c>
    </row>
    <row r="91" spans="1:9">
      <c r="A91" s="2">
        <v>5090</v>
      </c>
      <c r="B91" s="2" t="s">
        <v>121</v>
      </c>
      <c r="C91" s="4" t="s">
        <v>211</v>
      </c>
      <c r="D91" s="2" t="s">
        <v>118</v>
      </c>
      <c r="E91" s="3">
        <v>45917</v>
      </c>
      <c r="F91" s="3">
        <v>45958</v>
      </c>
      <c r="G91" s="2" t="s">
        <v>119</v>
      </c>
      <c r="H91" s="8" t="s">
        <v>4</v>
      </c>
      <c r="I91" s="9">
        <f t="shared" si="1"/>
        <v>41</v>
      </c>
    </row>
    <row r="92" spans="1:9">
      <c r="A92" s="2">
        <v>5091</v>
      </c>
      <c r="B92" s="2" t="s">
        <v>116</v>
      </c>
      <c r="C92" s="4" t="s">
        <v>212</v>
      </c>
      <c r="D92" s="2" t="s">
        <v>118</v>
      </c>
      <c r="E92" s="3">
        <v>45909</v>
      </c>
      <c r="F92" s="3"/>
      <c r="G92" s="2" t="s">
        <v>119</v>
      </c>
      <c r="H92" s="11" t="s">
        <v>5</v>
      </c>
      <c r="I92" s="9" t="str">
        <f t="shared" si="1"/>
        <v/>
      </c>
    </row>
    <row r="93" spans="1:9">
      <c r="A93" s="2">
        <v>5092</v>
      </c>
      <c r="B93" s="2" t="s">
        <v>116</v>
      </c>
      <c r="C93" s="4" t="s">
        <v>213</v>
      </c>
      <c r="D93" s="2" t="s">
        <v>118</v>
      </c>
      <c r="E93" s="3">
        <v>45912</v>
      </c>
      <c r="F93" s="3"/>
      <c r="G93" s="2" t="s">
        <v>119</v>
      </c>
      <c r="H93" s="11" t="s">
        <v>5</v>
      </c>
      <c r="I93" s="9" t="str">
        <f t="shared" si="1"/>
        <v/>
      </c>
    </row>
    <row r="94" spans="1:9">
      <c r="A94" s="2">
        <v>5093</v>
      </c>
      <c r="B94" s="2" t="s">
        <v>121</v>
      </c>
      <c r="C94" s="4" t="s">
        <v>214</v>
      </c>
      <c r="D94" s="2" t="s">
        <v>118</v>
      </c>
      <c r="E94" s="3">
        <v>45924</v>
      </c>
      <c r="F94" s="3">
        <v>45989</v>
      </c>
      <c r="G94" s="2" t="s">
        <v>119</v>
      </c>
      <c r="H94" s="8" t="s">
        <v>4</v>
      </c>
      <c r="I94" s="9">
        <f t="shared" si="1"/>
        <v>65</v>
      </c>
    </row>
    <row r="95" ht="30" spans="1:9">
      <c r="A95" s="2">
        <v>5094</v>
      </c>
      <c r="B95" s="2" t="s">
        <v>116</v>
      </c>
      <c r="C95" s="4" t="s">
        <v>215</v>
      </c>
      <c r="D95" s="2" t="s">
        <v>118</v>
      </c>
      <c r="E95" s="3">
        <v>45929</v>
      </c>
      <c r="F95" s="3">
        <v>46140</v>
      </c>
      <c r="G95" s="2" t="s">
        <v>119</v>
      </c>
      <c r="H95" s="10" t="s">
        <v>44</v>
      </c>
      <c r="I95" s="9">
        <f t="shared" si="1"/>
        <v>211</v>
      </c>
    </row>
    <row r="96" spans="1:9">
      <c r="A96" s="2">
        <v>5095</v>
      </c>
      <c r="B96" s="2" t="s">
        <v>121</v>
      </c>
      <c r="C96" s="4" t="s">
        <v>216</v>
      </c>
      <c r="D96" s="2" t="s">
        <v>118</v>
      </c>
      <c r="E96" s="3">
        <v>45943</v>
      </c>
      <c r="F96" s="3">
        <v>45958</v>
      </c>
      <c r="G96" s="2" t="s">
        <v>119</v>
      </c>
      <c r="H96" s="8" t="s">
        <v>4</v>
      </c>
      <c r="I96" s="9">
        <f t="shared" si="1"/>
        <v>15</v>
      </c>
    </row>
    <row r="97" spans="1:9">
      <c r="A97" s="2">
        <v>5096</v>
      </c>
      <c r="B97" s="2" t="s">
        <v>121</v>
      </c>
      <c r="C97" s="4" t="s">
        <v>217</v>
      </c>
      <c r="D97" s="2" t="s">
        <v>118</v>
      </c>
      <c r="E97" s="3">
        <v>45943</v>
      </c>
      <c r="F97" s="3">
        <v>45958</v>
      </c>
      <c r="G97" s="2" t="s">
        <v>119</v>
      </c>
      <c r="H97" s="8" t="s">
        <v>4</v>
      </c>
      <c r="I97" s="9">
        <f t="shared" si="1"/>
        <v>15</v>
      </c>
    </row>
    <row r="98" ht="30" spans="1:9">
      <c r="A98" s="2">
        <v>5097</v>
      </c>
      <c r="B98" s="2" t="s">
        <v>116</v>
      </c>
      <c r="C98" s="4" t="s">
        <v>218</v>
      </c>
      <c r="D98" s="2" t="s">
        <v>118</v>
      </c>
      <c r="E98" s="3">
        <v>45938</v>
      </c>
      <c r="F98" s="3">
        <v>46140</v>
      </c>
      <c r="G98" s="2" t="s">
        <v>119</v>
      </c>
      <c r="H98" s="8" t="s">
        <v>4</v>
      </c>
      <c r="I98" s="9">
        <f t="shared" si="1"/>
        <v>202</v>
      </c>
    </row>
    <row r="99" spans="1:9">
      <c r="A99" s="2">
        <v>5098</v>
      </c>
      <c r="B99" s="2" t="s">
        <v>121</v>
      </c>
      <c r="C99" s="4" t="s">
        <v>219</v>
      </c>
      <c r="D99" s="2" t="s">
        <v>118</v>
      </c>
      <c r="E99" s="3">
        <v>45958</v>
      </c>
      <c r="F99" s="3">
        <v>46050</v>
      </c>
      <c r="G99" s="2" t="s">
        <v>119</v>
      </c>
      <c r="H99" s="8" t="s">
        <v>4</v>
      </c>
      <c r="I99" s="9">
        <f t="shared" si="1"/>
        <v>92</v>
      </c>
    </row>
    <row r="100" spans="1:9">
      <c r="A100" s="2">
        <v>5099</v>
      </c>
      <c r="B100" s="2" t="s">
        <v>121</v>
      </c>
      <c r="C100" s="4" t="s">
        <v>183</v>
      </c>
      <c r="D100" s="2" t="s">
        <v>118</v>
      </c>
      <c r="E100" s="3">
        <v>45943</v>
      </c>
      <c r="F100" s="3">
        <v>45958</v>
      </c>
      <c r="G100" s="2" t="s">
        <v>119</v>
      </c>
      <c r="H100" s="8" t="s">
        <v>4</v>
      </c>
      <c r="I100" s="9">
        <f t="shared" si="1"/>
        <v>15</v>
      </c>
    </row>
    <row r="101" spans="1:9">
      <c r="A101" s="2">
        <v>5100</v>
      </c>
      <c r="B101" s="2" t="s">
        <v>116</v>
      </c>
      <c r="C101" s="4" t="s">
        <v>220</v>
      </c>
      <c r="D101" s="2" t="s">
        <v>118</v>
      </c>
      <c r="E101" s="3">
        <v>45931</v>
      </c>
      <c r="F101" s="3"/>
      <c r="G101" s="2" t="s">
        <v>119</v>
      </c>
      <c r="H101" s="11" t="s">
        <v>5</v>
      </c>
      <c r="I101" s="9" t="str">
        <f t="shared" si="1"/>
        <v/>
      </c>
    </row>
    <row r="102" spans="1:9">
      <c r="A102" s="2">
        <v>5101</v>
      </c>
      <c r="B102" s="2" t="s">
        <v>116</v>
      </c>
      <c r="C102" s="4" t="s">
        <v>221</v>
      </c>
      <c r="D102" s="2" t="s">
        <v>118</v>
      </c>
      <c r="E102" s="3">
        <v>45960</v>
      </c>
      <c r="F102" s="3">
        <v>46140</v>
      </c>
      <c r="G102" s="2" t="s">
        <v>119</v>
      </c>
      <c r="H102" s="8" t="s">
        <v>4</v>
      </c>
      <c r="I102" s="9">
        <f t="shared" si="1"/>
        <v>180</v>
      </c>
    </row>
    <row r="103" spans="1:9">
      <c r="A103" s="2">
        <v>5102</v>
      </c>
      <c r="B103" s="2" t="s">
        <v>116</v>
      </c>
      <c r="C103" s="4" t="s">
        <v>222</v>
      </c>
      <c r="D103" s="2" t="s">
        <v>118</v>
      </c>
      <c r="E103" s="3">
        <v>45972</v>
      </c>
      <c r="F103" s="3">
        <v>46140</v>
      </c>
      <c r="G103" s="2" t="s">
        <v>119</v>
      </c>
      <c r="H103" s="8" t="s">
        <v>4</v>
      </c>
      <c r="I103" s="9">
        <f t="shared" si="1"/>
        <v>168</v>
      </c>
    </row>
    <row r="104" spans="1:9">
      <c r="A104" s="2">
        <v>5103</v>
      </c>
      <c r="B104" s="2" t="s">
        <v>121</v>
      </c>
      <c r="C104" s="4" t="s">
        <v>223</v>
      </c>
      <c r="D104" s="2" t="s">
        <v>118</v>
      </c>
      <c r="E104" s="3">
        <v>45971</v>
      </c>
      <c r="F104" s="3">
        <v>46080</v>
      </c>
      <c r="G104" s="2" t="s">
        <v>119</v>
      </c>
      <c r="H104" s="8" t="s">
        <v>4</v>
      </c>
      <c r="I104" s="9">
        <f t="shared" si="1"/>
        <v>109</v>
      </c>
    </row>
    <row r="105" spans="1:9">
      <c r="A105" s="2">
        <v>5104</v>
      </c>
      <c r="B105" s="2" t="s">
        <v>116</v>
      </c>
      <c r="C105" s="4" t="s">
        <v>224</v>
      </c>
      <c r="D105" s="2" t="s">
        <v>118</v>
      </c>
      <c r="E105" s="3">
        <v>45974</v>
      </c>
      <c r="F105" s="3">
        <v>46234</v>
      </c>
      <c r="G105" s="2" t="s">
        <v>119</v>
      </c>
      <c r="H105" s="8" t="s">
        <v>4</v>
      </c>
      <c r="I105" s="9">
        <f t="shared" si="1"/>
        <v>260</v>
      </c>
    </row>
    <row r="106" spans="1:9">
      <c r="A106" s="2">
        <v>5105</v>
      </c>
      <c r="B106" s="2" t="s">
        <v>121</v>
      </c>
      <c r="C106" s="4" t="s">
        <v>225</v>
      </c>
      <c r="D106" s="2" t="s">
        <v>118</v>
      </c>
      <c r="E106" s="3">
        <v>45979</v>
      </c>
      <c r="F106" s="3">
        <v>46050</v>
      </c>
      <c r="G106" s="2" t="s">
        <v>119</v>
      </c>
      <c r="H106" s="8" t="s">
        <v>4</v>
      </c>
      <c r="I106" s="9">
        <f t="shared" si="1"/>
        <v>71</v>
      </c>
    </row>
    <row r="107" spans="1:9">
      <c r="A107" s="2">
        <v>5106</v>
      </c>
      <c r="B107" s="2" t="s">
        <v>116</v>
      </c>
      <c r="C107" s="4" t="s">
        <v>226</v>
      </c>
      <c r="D107" s="2" t="s">
        <v>118</v>
      </c>
      <c r="E107" s="3">
        <v>45974</v>
      </c>
      <c r="F107" s="3">
        <v>46234</v>
      </c>
      <c r="G107" s="2" t="s">
        <v>119</v>
      </c>
      <c r="H107" s="8" t="s">
        <v>4</v>
      </c>
      <c r="I107" s="9">
        <f t="shared" si="1"/>
        <v>260</v>
      </c>
    </row>
    <row r="108" spans="1:9">
      <c r="A108" s="2">
        <v>5107</v>
      </c>
      <c r="B108" s="2" t="s">
        <v>121</v>
      </c>
      <c r="C108" s="4" t="s">
        <v>227</v>
      </c>
      <c r="D108" s="2" t="s">
        <v>118</v>
      </c>
      <c r="E108" s="3">
        <v>45987</v>
      </c>
      <c r="F108" s="3">
        <v>46080</v>
      </c>
      <c r="G108" s="2" t="s">
        <v>119</v>
      </c>
      <c r="H108" s="8" t="s">
        <v>4</v>
      </c>
      <c r="I108" s="9">
        <f t="shared" si="1"/>
        <v>93</v>
      </c>
    </row>
    <row r="109" spans="1:9">
      <c r="A109" s="2">
        <v>5108</v>
      </c>
      <c r="B109" s="2" t="s">
        <v>121</v>
      </c>
      <c r="C109" s="4" t="s">
        <v>228</v>
      </c>
      <c r="D109" s="2" t="s">
        <v>118</v>
      </c>
      <c r="E109" s="3">
        <v>45964</v>
      </c>
      <c r="F109" s="3">
        <v>46050</v>
      </c>
      <c r="G109" s="2" t="s">
        <v>119</v>
      </c>
      <c r="H109" s="8" t="s">
        <v>4</v>
      </c>
      <c r="I109" s="9">
        <f t="shared" si="1"/>
        <v>86</v>
      </c>
    </row>
    <row r="110" ht="30" spans="1:9">
      <c r="A110" s="2">
        <v>5109</v>
      </c>
      <c r="B110" s="2" t="s">
        <v>116</v>
      </c>
      <c r="C110" s="4" t="s">
        <v>229</v>
      </c>
      <c r="D110" s="2" t="s">
        <v>118</v>
      </c>
      <c r="E110" s="3">
        <v>45987</v>
      </c>
      <c r="F110" s="3">
        <v>46234</v>
      </c>
      <c r="G110" s="2" t="s">
        <v>119</v>
      </c>
      <c r="H110" s="8" t="s">
        <v>4</v>
      </c>
      <c r="I110" s="9">
        <f t="shared" si="1"/>
        <v>247</v>
      </c>
    </row>
    <row r="111" spans="1:9">
      <c r="A111" s="2">
        <v>5110</v>
      </c>
      <c r="B111" s="2" t="s">
        <v>121</v>
      </c>
      <c r="C111" s="4" t="s">
        <v>230</v>
      </c>
      <c r="D111" s="2" t="s">
        <v>118</v>
      </c>
      <c r="E111" s="3">
        <v>45990</v>
      </c>
      <c r="F111" s="3">
        <v>46111</v>
      </c>
      <c r="G111" s="2" t="s">
        <v>119</v>
      </c>
      <c r="H111" s="8" t="s">
        <v>4</v>
      </c>
      <c r="I111" s="9">
        <f t="shared" si="1"/>
        <v>121</v>
      </c>
    </row>
    <row r="112" spans="1:9">
      <c r="A112" s="2">
        <v>5111</v>
      </c>
      <c r="B112" s="2" t="s">
        <v>116</v>
      </c>
      <c r="C112" s="4" t="s">
        <v>231</v>
      </c>
      <c r="D112" s="2" t="s">
        <v>118</v>
      </c>
      <c r="E112" s="3">
        <v>45990</v>
      </c>
      <c r="F112" s="3">
        <v>46168</v>
      </c>
      <c r="G112" s="2" t="s">
        <v>119</v>
      </c>
      <c r="H112" s="8" t="s">
        <v>4</v>
      </c>
      <c r="I112" s="9">
        <f t="shared" si="1"/>
        <v>178</v>
      </c>
    </row>
    <row r="113" spans="1:9">
      <c r="A113" s="2">
        <v>5112</v>
      </c>
      <c r="B113" s="2" t="s">
        <v>116</v>
      </c>
      <c r="C113" s="4" t="s">
        <v>232</v>
      </c>
      <c r="D113" s="2" t="s">
        <v>118</v>
      </c>
      <c r="E113" s="3">
        <v>46001</v>
      </c>
      <c r="F113" s="3">
        <v>46140</v>
      </c>
      <c r="G113" s="2" t="s">
        <v>119</v>
      </c>
      <c r="H113" s="8" t="s">
        <v>4</v>
      </c>
      <c r="I113" s="9">
        <f t="shared" si="1"/>
        <v>139</v>
      </c>
    </row>
    <row r="114" spans="1:9">
      <c r="A114" s="2">
        <v>5113</v>
      </c>
      <c r="B114" s="2" t="s">
        <v>121</v>
      </c>
      <c r="C114" s="4" t="s">
        <v>233</v>
      </c>
      <c r="D114" s="2" t="s">
        <v>118</v>
      </c>
      <c r="E114" s="3">
        <v>46014</v>
      </c>
      <c r="F114" s="3">
        <v>46050</v>
      </c>
      <c r="G114" s="2" t="s">
        <v>119</v>
      </c>
      <c r="H114" s="8" t="s">
        <v>4</v>
      </c>
      <c r="I114" s="9">
        <f t="shared" si="1"/>
        <v>36</v>
      </c>
    </row>
    <row r="115" spans="1:9">
      <c r="A115" s="2">
        <v>5114</v>
      </c>
      <c r="B115" s="2" t="s">
        <v>116</v>
      </c>
      <c r="C115" s="4" t="s">
        <v>234</v>
      </c>
      <c r="D115" s="2" t="s">
        <v>118</v>
      </c>
      <c r="E115" s="3">
        <v>46031</v>
      </c>
      <c r="F115" s="3">
        <v>46245</v>
      </c>
      <c r="G115" s="2" t="s">
        <v>119</v>
      </c>
      <c r="H115" s="10" t="s">
        <v>44</v>
      </c>
      <c r="I115" s="9">
        <f t="shared" si="1"/>
        <v>214</v>
      </c>
    </row>
    <row r="116" spans="1:9">
      <c r="A116" s="2">
        <v>5115</v>
      </c>
      <c r="B116" s="2" t="s">
        <v>116</v>
      </c>
      <c r="C116" s="4" t="s">
        <v>235</v>
      </c>
      <c r="D116" s="2" t="s">
        <v>118</v>
      </c>
      <c r="E116" s="3">
        <v>46038</v>
      </c>
      <c r="F116" s="3">
        <v>46140</v>
      </c>
      <c r="G116" s="2" t="s">
        <v>119</v>
      </c>
      <c r="H116" s="10" t="s">
        <v>44</v>
      </c>
      <c r="I116" s="9">
        <f t="shared" si="1"/>
        <v>102</v>
      </c>
    </row>
    <row r="117" spans="1:9">
      <c r="A117" s="2">
        <v>5116</v>
      </c>
      <c r="B117" s="2" t="s">
        <v>121</v>
      </c>
      <c r="C117" s="4" t="s">
        <v>182</v>
      </c>
      <c r="D117" s="2" t="s">
        <v>129</v>
      </c>
      <c r="E117" s="3">
        <v>46041</v>
      </c>
      <c r="F117" s="3">
        <v>46044</v>
      </c>
      <c r="G117" s="2" t="s">
        <v>119</v>
      </c>
      <c r="H117" s="8" t="s">
        <v>4</v>
      </c>
      <c r="I117" s="9">
        <f t="shared" si="1"/>
        <v>3</v>
      </c>
    </row>
    <row r="118" spans="1:9">
      <c r="A118" s="2">
        <v>5117</v>
      </c>
      <c r="B118" s="2" t="s">
        <v>121</v>
      </c>
      <c r="C118" s="4" t="s">
        <v>236</v>
      </c>
      <c r="D118" s="2" t="s">
        <v>129</v>
      </c>
      <c r="E118" s="3">
        <v>46035</v>
      </c>
      <c r="F118" s="3">
        <v>46111</v>
      </c>
      <c r="G118" s="2" t="s">
        <v>119</v>
      </c>
      <c r="H118" s="8" t="s">
        <v>4</v>
      </c>
      <c r="I118" s="9">
        <f t="shared" si="1"/>
        <v>76</v>
      </c>
    </row>
    <row r="119" spans="1:9">
      <c r="A119" s="2">
        <v>5118</v>
      </c>
      <c r="B119" s="2" t="s">
        <v>121</v>
      </c>
      <c r="C119" s="4" t="s">
        <v>237</v>
      </c>
      <c r="D119" s="2" t="s">
        <v>118</v>
      </c>
      <c r="E119" s="3">
        <v>46041</v>
      </c>
      <c r="F119" s="3">
        <v>46111</v>
      </c>
      <c r="G119" s="2" t="s">
        <v>119</v>
      </c>
      <c r="H119" s="8" t="s">
        <v>4</v>
      </c>
      <c r="I119" s="9">
        <f t="shared" si="1"/>
        <v>70</v>
      </c>
    </row>
    <row r="120" ht="30" spans="1:9">
      <c r="A120" s="2">
        <v>5119</v>
      </c>
      <c r="B120" s="2" t="s">
        <v>116</v>
      </c>
      <c r="C120" s="4" t="s">
        <v>238</v>
      </c>
      <c r="D120" s="2" t="s">
        <v>118</v>
      </c>
      <c r="E120" s="3">
        <v>46027</v>
      </c>
      <c r="F120" s="3"/>
      <c r="G120" s="2" t="s">
        <v>239</v>
      </c>
      <c r="H120" s="11" t="s">
        <v>5</v>
      </c>
      <c r="I120" s="9" t="str">
        <f t="shared" si="1"/>
        <v/>
      </c>
    </row>
    <row r="121" spans="1:9">
      <c r="A121" s="2">
        <v>5120</v>
      </c>
      <c r="B121" s="2" t="s">
        <v>116</v>
      </c>
      <c r="C121" s="4" t="s">
        <v>240</v>
      </c>
      <c r="D121" s="2" t="s">
        <v>118</v>
      </c>
      <c r="E121" s="3">
        <v>46053</v>
      </c>
      <c r="F121" s="3">
        <v>46140</v>
      </c>
      <c r="G121" s="2" t="s">
        <v>119</v>
      </c>
      <c r="H121" s="8" t="s">
        <v>4</v>
      </c>
      <c r="I121" s="9">
        <f t="shared" si="1"/>
        <v>87</v>
      </c>
    </row>
    <row r="122" spans="1:9">
      <c r="A122" s="2">
        <v>5121</v>
      </c>
      <c r="B122" s="2" t="s">
        <v>116</v>
      </c>
      <c r="C122" s="4" t="s">
        <v>241</v>
      </c>
      <c r="D122" s="2" t="s">
        <v>118</v>
      </c>
      <c r="E122" s="3">
        <v>46062</v>
      </c>
      <c r="F122" s="3">
        <v>46168</v>
      </c>
      <c r="G122" s="2" t="s">
        <v>119</v>
      </c>
      <c r="H122" s="8" t="s">
        <v>4</v>
      </c>
      <c r="I122" s="9">
        <f t="shared" si="1"/>
        <v>106</v>
      </c>
    </row>
    <row r="123" spans="1:9">
      <c r="A123" s="2">
        <v>5122</v>
      </c>
      <c r="B123" s="2" t="s">
        <v>121</v>
      </c>
      <c r="C123" s="4" t="s">
        <v>242</v>
      </c>
      <c r="D123" s="2" t="s">
        <v>118</v>
      </c>
      <c r="E123" s="3">
        <v>46076</v>
      </c>
      <c r="F123" s="3">
        <v>46140</v>
      </c>
      <c r="G123" s="2" t="s">
        <v>119</v>
      </c>
      <c r="H123" s="8" t="s">
        <v>4</v>
      </c>
      <c r="I123" s="9">
        <f t="shared" si="1"/>
        <v>64</v>
      </c>
    </row>
    <row r="124" ht="30" spans="1:9">
      <c r="A124" s="2">
        <v>5123</v>
      </c>
      <c r="B124" s="2" t="s">
        <v>116</v>
      </c>
      <c r="C124" s="4" t="s">
        <v>243</v>
      </c>
      <c r="D124" s="2" t="s">
        <v>118</v>
      </c>
      <c r="E124" s="3">
        <v>46080</v>
      </c>
      <c r="F124" s="3">
        <v>46140</v>
      </c>
      <c r="G124" s="2" t="s">
        <v>119</v>
      </c>
      <c r="H124" s="8" t="s">
        <v>4</v>
      </c>
      <c r="I124" s="9">
        <f t="shared" si="1"/>
        <v>60</v>
      </c>
    </row>
    <row r="125" spans="1:9">
      <c r="A125" s="2">
        <v>5124</v>
      </c>
      <c r="B125" s="2" t="s">
        <v>121</v>
      </c>
      <c r="C125" s="4" t="s">
        <v>244</v>
      </c>
      <c r="D125" s="2" t="s">
        <v>118</v>
      </c>
      <c r="E125" s="3">
        <v>46078</v>
      </c>
      <c r="F125" s="3">
        <v>46140</v>
      </c>
      <c r="G125" s="2" t="s">
        <v>119</v>
      </c>
      <c r="H125" s="8" t="s">
        <v>4</v>
      </c>
      <c r="I125" s="9">
        <f t="shared" si="1"/>
        <v>62</v>
      </c>
    </row>
    <row r="126" spans="1:9">
      <c r="A126" s="2">
        <v>5125</v>
      </c>
      <c r="B126" s="2" t="s">
        <v>121</v>
      </c>
      <c r="C126" s="4" t="s">
        <v>245</v>
      </c>
      <c r="D126" s="2" t="s">
        <v>118</v>
      </c>
      <c r="E126" s="3">
        <v>46077</v>
      </c>
      <c r="F126" s="3">
        <v>46111</v>
      </c>
      <c r="G126" s="2" t="s">
        <v>119</v>
      </c>
      <c r="H126" s="8" t="s">
        <v>4</v>
      </c>
      <c r="I126" s="9">
        <f t="shared" si="1"/>
        <v>34</v>
      </c>
    </row>
    <row r="127" spans="1:9">
      <c r="A127" s="2">
        <v>5126</v>
      </c>
      <c r="B127" s="2" t="s">
        <v>121</v>
      </c>
      <c r="C127" s="4" t="s">
        <v>246</v>
      </c>
      <c r="D127" s="2" t="s">
        <v>129</v>
      </c>
      <c r="E127" s="3">
        <v>46063</v>
      </c>
      <c r="F127" s="3">
        <v>46140</v>
      </c>
      <c r="G127" s="2" t="s">
        <v>119</v>
      </c>
      <c r="H127" s="8" t="s">
        <v>4</v>
      </c>
      <c r="I127" s="9">
        <f t="shared" si="1"/>
        <v>77</v>
      </c>
    </row>
    <row r="128" spans="1:9">
      <c r="A128" s="2">
        <v>5127</v>
      </c>
      <c r="B128" s="2" t="s">
        <v>121</v>
      </c>
      <c r="C128" s="4" t="s">
        <v>247</v>
      </c>
      <c r="D128" s="2" t="s">
        <v>172</v>
      </c>
      <c r="E128" s="3">
        <v>46066</v>
      </c>
      <c r="F128" s="3">
        <v>46111</v>
      </c>
      <c r="G128" s="2" t="s">
        <v>119</v>
      </c>
      <c r="H128" s="8" t="s">
        <v>4</v>
      </c>
      <c r="I128" s="9">
        <f t="shared" si="1"/>
        <v>45</v>
      </c>
    </row>
    <row r="129" spans="1:9">
      <c r="A129" s="2">
        <v>5128</v>
      </c>
      <c r="B129" s="2" t="s">
        <v>121</v>
      </c>
      <c r="C129" s="4" t="s">
        <v>183</v>
      </c>
      <c r="D129" s="2" t="s">
        <v>118</v>
      </c>
      <c r="E129" s="3">
        <v>46078</v>
      </c>
      <c r="F129" s="3">
        <v>46111</v>
      </c>
      <c r="G129" s="2" t="s">
        <v>119</v>
      </c>
      <c r="H129" s="8" t="s">
        <v>4</v>
      </c>
      <c r="I129" s="9">
        <f t="shared" si="1"/>
        <v>33</v>
      </c>
    </row>
    <row r="130" spans="1:9">
      <c r="A130" s="2">
        <v>5129</v>
      </c>
      <c r="B130" s="2" t="s">
        <v>116</v>
      </c>
      <c r="C130" s="4" t="s">
        <v>248</v>
      </c>
      <c r="D130" s="2" t="s">
        <v>118</v>
      </c>
      <c r="E130" s="3">
        <v>46109</v>
      </c>
      <c r="F130" s="3">
        <v>46234</v>
      </c>
      <c r="G130" s="2" t="s">
        <v>119</v>
      </c>
      <c r="H130" s="10" t="s">
        <v>44</v>
      </c>
      <c r="I130" s="9">
        <f t="shared" ref="I130:I176" si="2">IF(F130="","",F130-E130)</f>
        <v>125</v>
      </c>
    </row>
    <row r="131" spans="1:9">
      <c r="A131" s="2">
        <v>5130</v>
      </c>
      <c r="B131" s="2" t="s">
        <v>121</v>
      </c>
      <c r="C131" s="4" t="s">
        <v>249</v>
      </c>
      <c r="D131" s="2" t="s">
        <v>118</v>
      </c>
      <c r="E131" s="3">
        <v>46093</v>
      </c>
      <c r="F131" s="3">
        <v>46111</v>
      </c>
      <c r="G131" s="2" t="s">
        <v>119</v>
      </c>
      <c r="H131" s="8" t="s">
        <v>4</v>
      </c>
      <c r="I131" s="9">
        <f t="shared" si="2"/>
        <v>18</v>
      </c>
    </row>
    <row r="132" ht="45" spans="1:9">
      <c r="A132" s="2">
        <v>5131</v>
      </c>
      <c r="B132" s="2" t="s">
        <v>116</v>
      </c>
      <c r="C132" s="4" t="s">
        <v>250</v>
      </c>
      <c r="D132" s="2" t="s">
        <v>118</v>
      </c>
      <c r="E132" s="3">
        <v>46114</v>
      </c>
      <c r="F132" s="3"/>
      <c r="G132" s="2" t="s">
        <v>251</v>
      </c>
      <c r="H132" s="11" t="s">
        <v>5</v>
      </c>
      <c r="I132" s="9" t="str">
        <f t="shared" si="2"/>
        <v/>
      </c>
    </row>
    <row r="133" spans="1:9">
      <c r="A133" s="2">
        <v>5132</v>
      </c>
      <c r="B133" s="2" t="s">
        <v>116</v>
      </c>
      <c r="C133" s="4" t="s">
        <v>252</v>
      </c>
      <c r="D133" s="2" t="s">
        <v>118</v>
      </c>
      <c r="E133" s="3">
        <v>46118</v>
      </c>
      <c r="F133" s="3"/>
      <c r="G133" s="2" t="s">
        <v>251</v>
      </c>
      <c r="H133" s="11" t="s">
        <v>5</v>
      </c>
      <c r="I133" s="9" t="str">
        <f t="shared" si="2"/>
        <v/>
      </c>
    </row>
    <row r="134" ht="30" spans="1:9">
      <c r="A134" s="2">
        <v>5133</v>
      </c>
      <c r="B134" s="2" t="s">
        <v>116</v>
      </c>
      <c r="C134" s="4" t="s">
        <v>253</v>
      </c>
      <c r="D134" s="2" t="s">
        <v>118</v>
      </c>
      <c r="E134" s="3">
        <v>46119</v>
      </c>
      <c r="F134" s="3">
        <v>46234</v>
      </c>
      <c r="G134" s="2" t="s">
        <v>251</v>
      </c>
      <c r="H134" s="8" t="s">
        <v>4</v>
      </c>
      <c r="I134" s="9">
        <f t="shared" si="2"/>
        <v>115</v>
      </c>
    </row>
    <row r="135" spans="1:9">
      <c r="A135" s="2">
        <v>5134</v>
      </c>
      <c r="B135" s="2" t="s">
        <v>116</v>
      </c>
      <c r="C135" s="4" t="s">
        <v>254</v>
      </c>
      <c r="D135" s="2" t="s">
        <v>118</v>
      </c>
      <c r="E135" s="3">
        <v>46121</v>
      </c>
      <c r="F135" s="3"/>
      <c r="G135" s="2" t="s">
        <v>251</v>
      </c>
      <c r="H135" s="11" t="s">
        <v>5</v>
      </c>
      <c r="I135" s="9" t="str">
        <f t="shared" si="2"/>
        <v/>
      </c>
    </row>
    <row r="136" ht="30" spans="1:9">
      <c r="A136" s="2">
        <v>5135</v>
      </c>
      <c r="B136" s="2" t="s">
        <v>116</v>
      </c>
      <c r="C136" s="4" t="s">
        <v>255</v>
      </c>
      <c r="D136" s="2" t="s">
        <v>118</v>
      </c>
      <c r="E136" s="3">
        <v>46134</v>
      </c>
      <c r="F136" s="3"/>
      <c r="G136" s="2" t="s">
        <v>251</v>
      </c>
      <c r="H136" s="11" t="s">
        <v>5</v>
      </c>
      <c r="I136" s="9" t="str">
        <f t="shared" si="2"/>
        <v/>
      </c>
    </row>
    <row r="137" spans="1:9">
      <c r="A137" s="2">
        <v>5136</v>
      </c>
      <c r="B137" s="2" t="s">
        <v>121</v>
      </c>
      <c r="C137" s="4" t="s">
        <v>256</v>
      </c>
      <c r="D137" s="2" t="s">
        <v>118</v>
      </c>
      <c r="E137" s="3">
        <v>46135</v>
      </c>
      <c r="F137" s="3">
        <v>46168</v>
      </c>
      <c r="G137" s="2" t="s">
        <v>119</v>
      </c>
      <c r="H137" s="8" t="s">
        <v>4</v>
      </c>
      <c r="I137" s="9">
        <f t="shared" si="2"/>
        <v>33</v>
      </c>
    </row>
    <row r="138" spans="1:9">
      <c r="A138" s="2">
        <v>5137</v>
      </c>
      <c r="B138" s="2" t="s">
        <v>121</v>
      </c>
      <c r="C138" s="4" t="s">
        <v>257</v>
      </c>
      <c r="D138" s="2" t="s">
        <v>118</v>
      </c>
      <c r="E138" s="3">
        <v>46143</v>
      </c>
      <c r="F138" s="3">
        <v>46168</v>
      </c>
      <c r="G138" s="2" t="s">
        <v>119</v>
      </c>
      <c r="H138" s="8" t="s">
        <v>4</v>
      </c>
      <c r="I138" s="9">
        <f t="shared" si="2"/>
        <v>25</v>
      </c>
    </row>
    <row r="139" ht="30" spans="1:9">
      <c r="A139" s="2">
        <v>5138</v>
      </c>
      <c r="B139" s="2" t="s">
        <v>116</v>
      </c>
      <c r="C139" s="4" t="s">
        <v>258</v>
      </c>
      <c r="D139" s="2" t="s">
        <v>118</v>
      </c>
      <c r="E139" s="3">
        <v>46146</v>
      </c>
      <c r="F139" s="3">
        <v>46265</v>
      </c>
      <c r="G139" s="2" t="s">
        <v>251</v>
      </c>
      <c r="H139" s="10" t="s">
        <v>44</v>
      </c>
      <c r="I139" s="9">
        <f t="shared" si="2"/>
        <v>119</v>
      </c>
    </row>
    <row r="140" spans="1:9">
      <c r="A140" s="2">
        <v>5139</v>
      </c>
      <c r="B140" s="2" t="s">
        <v>116</v>
      </c>
      <c r="C140" s="4" t="s">
        <v>259</v>
      </c>
      <c r="D140" s="2" t="s">
        <v>118</v>
      </c>
      <c r="E140" s="3">
        <v>46148</v>
      </c>
      <c r="F140" s="3">
        <v>46265</v>
      </c>
      <c r="G140" s="2" t="s">
        <v>251</v>
      </c>
      <c r="H140" s="8" t="s">
        <v>4</v>
      </c>
      <c r="I140" s="9">
        <f t="shared" si="2"/>
        <v>117</v>
      </c>
    </row>
    <row r="141" ht="30" spans="1:9">
      <c r="A141" s="2">
        <v>5140</v>
      </c>
      <c r="B141" s="2" t="s">
        <v>116</v>
      </c>
      <c r="C141" s="4" t="s">
        <v>260</v>
      </c>
      <c r="D141" s="2" t="s">
        <v>118</v>
      </c>
      <c r="E141" s="3">
        <v>46143</v>
      </c>
      <c r="F141" s="3">
        <v>46234</v>
      </c>
      <c r="G141" s="2" t="s">
        <v>251</v>
      </c>
      <c r="H141" s="8" t="s">
        <v>4</v>
      </c>
      <c r="I141" s="9">
        <f t="shared" si="2"/>
        <v>91</v>
      </c>
    </row>
    <row r="142" spans="1:9">
      <c r="A142" s="2">
        <v>5141</v>
      </c>
      <c r="B142" s="2" t="s">
        <v>116</v>
      </c>
      <c r="C142" s="4" t="s">
        <v>261</v>
      </c>
      <c r="D142" s="2" t="s">
        <v>118</v>
      </c>
      <c r="E142" s="3">
        <v>46143</v>
      </c>
      <c r="F142" s="3"/>
      <c r="G142" s="2" t="s">
        <v>251</v>
      </c>
      <c r="H142" s="11" t="s">
        <v>5</v>
      </c>
      <c r="I142" s="9" t="str">
        <f t="shared" si="2"/>
        <v/>
      </c>
    </row>
    <row r="143" spans="1:9">
      <c r="A143" s="2">
        <v>5142</v>
      </c>
      <c r="B143" s="2" t="s">
        <v>121</v>
      </c>
      <c r="C143" s="4" t="s">
        <v>262</v>
      </c>
      <c r="D143" s="2" t="s">
        <v>118</v>
      </c>
      <c r="E143" s="3">
        <v>46160</v>
      </c>
      <c r="F143" s="3"/>
      <c r="G143" s="2" t="s">
        <v>251</v>
      </c>
      <c r="H143" s="11" t="s">
        <v>5</v>
      </c>
      <c r="I143" s="9" t="str">
        <f t="shared" si="2"/>
        <v/>
      </c>
    </row>
    <row r="144" spans="1:9">
      <c r="A144" s="2">
        <v>5143</v>
      </c>
      <c r="B144" s="2" t="s">
        <v>121</v>
      </c>
      <c r="C144" s="4" t="s">
        <v>263</v>
      </c>
      <c r="D144" s="2" t="s">
        <v>118</v>
      </c>
      <c r="E144" s="3">
        <v>46160</v>
      </c>
      <c r="F144" s="3"/>
      <c r="G144" s="2" t="s">
        <v>251</v>
      </c>
      <c r="H144" s="11" t="s">
        <v>5</v>
      </c>
      <c r="I144" s="9" t="str">
        <f t="shared" si="2"/>
        <v/>
      </c>
    </row>
    <row r="145" spans="1:9">
      <c r="A145" s="2">
        <v>5144</v>
      </c>
      <c r="B145" s="2" t="s">
        <v>121</v>
      </c>
      <c r="C145" s="4" t="s">
        <v>264</v>
      </c>
      <c r="D145" s="2" t="s">
        <v>118</v>
      </c>
      <c r="E145" s="3">
        <v>46160</v>
      </c>
      <c r="F145" s="3"/>
      <c r="G145" s="2" t="s">
        <v>251</v>
      </c>
      <c r="H145" s="11" t="s">
        <v>5</v>
      </c>
      <c r="I145" s="9" t="str">
        <f t="shared" si="2"/>
        <v/>
      </c>
    </row>
    <row r="146" spans="1:9">
      <c r="A146" s="2">
        <v>5145</v>
      </c>
      <c r="B146" s="2" t="s">
        <v>116</v>
      </c>
      <c r="C146" s="4" t="s">
        <v>265</v>
      </c>
      <c r="D146" s="2" t="s">
        <v>118</v>
      </c>
      <c r="E146" s="3">
        <v>46161</v>
      </c>
      <c r="F146" s="3"/>
      <c r="G146" s="2" t="s">
        <v>251</v>
      </c>
      <c r="H146" s="11" t="s">
        <v>5</v>
      </c>
      <c r="I146" s="9" t="str">
        <f t="shared" si="2"/>
        <v/>
      </c>
    </row>
    <row r="147" spans="1:9">
      <c r="A147" s="2">
        <v>5146</v>
      </c>
      <c r="B147" s="2" t="s">
        <v>121</v>
      </c>
      <c r="C147" s="4" t="s">
        <v>266</v>
      </c>
      <c r="D147" s="2" t="s">
        <v>118</v>
      </c>
      <c r="E147" s="3">
        <v>46161</v>
      </c>
      <c r="F147" s="3">
        <v>46234</v>
      </c>
      <c r="G147" s="2" t="s">
        <v>251</v>
      </c>
      <c r="H147" s="8" t="s">
        <v>4</v>
      </c>
      <c r="I147" s="9">
        <f t="shared" si="2"/>
        <v>73</v>
      </c>
    </row>
    <row r="148" spans="1:9">
      <c r="A148" s="2">
        <v>5147</v>
      </c>
      <c r="B148" s="2" t="s">
        <v>116</v>
      </c>
      <c r="C148" s="4" t="s">
        <v>267</v>
      </c>
      <c r="D148" s="2" t="s">
        <v>118</v>
      </c>
      <c r="E148" s="3">
        <v>46167</v>
      </c>
      <c r="F148" s="3"/>
      <c r="G148" s="2" t="s">
        <v>251</v>
      </c>
      <c r="H148" s="11" t="s">
        <v>5</v>
      </c>
      <c r="I148" s="9" t="str">
        <f t="shared" si="2"/>
        <v/>
      </c>
    </row>
    <row r="149" spans="1:9">
      <c r="A149" s="2">
        <v>5148</v>
      </c>
      <c r="B149" s="2" t="s">
        <v>121</v>
      </c>
      <c r="C149" s="4" t="s">
        <v>268</v>
      </c>
      <c r="D149" s="2" t="s">
        <v>118</v>
      </c>
      <c r="E149" s="3">
        <v>46168</v>
      </c>
      <c r="F149" s="3">
        <v>46265</v>
      </c>
      <c r="G149" s="2" t="s">
        <v>251</v>
      </c>
      <c r="H149" s="10" t="s">
        <v>44</v>
      </c>
      <c r="I149" s="9">
        <f t="shared" si="2"/>
        <v>97</v>
      </c>
    </row>
    <row r="150" spans="1:9">
      <c r="A150" s="2">
        <v>5149</v>
      </c>
      <c r="B150" s="2" t="s">
        <v>116</v>
      </c>
      <c r="C150" s="4" t="s">
        <v>269</v>
      </c>
      <c r="D150" s="2" t="s">
        <v>118</v>
      </c>
      <c r="E150" s="3">
        <v>46169</v>
      </c>
      <c r="F150" s="3"/>
      <c r="G150" s="2" t="s">
        <v>251</v>
      </c>
      <c r="H150" s="11" t="s">
        <v>5</v>
      </c>
      <c r="I150" s="9" t="str">
        <f t="shared" si="2"/>
        <v/>
      </c>
    </row>
    <row r="151" spans="1:9">
      <c r="A151" s="2">
        <v>5150</v>
      </c>
      <c r="B151" s="2" t="s">
        <v>116</v>
      </c>
      <c r="C151" s="4" t="s">
        <v>270</v>
      </c>
      <c r="D151" s="2" t="s">
        <v>118</v>
      </c>
      <c r="E151" s="3">
        <v>46174</v>
      </c>
      <c r="F151" s="3"/>
      <c r="G151" s="2" t="s">
        <v>251</v>
      </c>
      <c r="H151" s="11" t="s">
        <v>5</v>
      </c>
      <c r="I151" s="9" t="str">
        <f t="shared" si="2"/>
        <v/>
      </c>
    </row>
    <row r="152" spans="1:9">
      <c r="A152" s="2">
        <v>5151</v>
      </c>
      <c r="B152" s="2" t="s">
        <v>121</v>
      </c>
      <c r="C152" s="4" t="s">
        <v>271</v>
      </c>
      <c r="D152" s="2" t="s">
        <v>118</v>
      </c>
      <c r="E152" s="3">
        <v>46178</v>
      </c>
      <c r="F152" s="3"/>
      <c r="G152" s="2" t="s">
        <v>251</v>
      </c>
      <c r="H152" s="11" t="s">
        <v>5</v>
      </c>
      <c r="I152" s="9" t="str">
        <f t="shared" si="2"/>
        <v/>
      </c>
    </row>
    <row r="153" spans="1:9">
      <c r="A153" s="2">
        <v>5152</v>
      </c>
      <c r="B153" s="2" t="s">
        <v>121</v>
      </c>
      <c r="C153" s="4" t="s">
        <v>272</v>
      </c>
      <c r="D153" s="2" t="s">
        <v>118</v>
      </c>
      <c r="E153" s="3">
        <v>46178</v>
      </c>
      <c r="F153" s="3"/>
      <c r="G153" s="2" t="s">
        <v>251</v>
      </c>
      <c r="H153" s="11" t="s">
        <v>5</v>
      </c>
      <c r="I153" s="9" t="str">
        <f t="shared" si="2"/>
        <v/>
      </c>
    </row>
    <row r="154" spans="1:9">
      <c r="A154" s="2">
        <v>5153</v>
      </c>
      <c r="B154" s="2" t="s">
        <v>121</v>
      </c>
      <c r="C154" s="4" t="s">
        <v>273</v>
      </c>
      <c r="D154" s="2" t="s">
        <v>118</v>
      </c>
      <c r="E154" s="3">
        <v>46177</v>
      </c>
      <c r="F154" s="3">
        <v>46234</v>
      </c>
      <c r="G154" s="2" t="s">
        <v>119</v>
      </c>
      <c r="H154" s="8" t="s">
        <v>4</v>
      </c>
      <c r="I154" s="9">
        <f t="shared" si="2"/>
        <v>57</v>
      </c>
    </row>
    <row r="155" spans="1:9">
      <c r="A155" s="2">
        <v>5154</v>
      </c>
      <c r="B155" s="2" t="s">
        <v>116</v>
      </c>
      <c r="C155" s="4" t="s">
        <v>274</v>
      </c>
      <c r="D155" s="2" t="s">
        <v>118</v>
      </c>
      <c r="E155" s="3">
        <v>46181</v>
      </c>
      <c r="F155" s="3"/>
      <c r="G155" s="2" t="s">
        <v>251</v>
      </c>
      <c r="H155" s="11" t="s">
        <v>5</v>
      </c>
      <c r="I155" s="9" t="str">
        <f t="shared" si="2"/>
        <v/>
      </c>
    </row>
    <row r="156" ht="30" spans="1:9">
      <c r="A156" s="2">
        <v>5155</v>
      </c>
      <c r="B156" s="2" t="s">
        <v>116</v>
      </c>
      <c r="C156" s="4" t="s">
        <v>275</v>
      </c>
      <c r="D156" s="2" t="s">
        <v>118</v>
      </c>
      <c r="E156" s="3">
        <v>46182</v>
      </c>
      <c r="F156" s="3"/>
      <c r="G156" s="2" t="s">
        <v>251</v>
      </c>
      <c r="H156" s="11" t="s">
        <v>5</v>
      </c>
      <c r="I156" s="9" t="str">
        <f t="shared" si="2"/>
        <v/>
      </c>
    </row>
    <row r="157" spans="1:9">
      <c r="A157" s="2">
        <v>5156</v>
      </c>
      <c r="B157" s="2" t="s">
        <v>116</v>
      </c>
      <c r="C157" s="4" t="s">
        <v>276</v>
      </c>
      <c r="D157" s="2" t="s">
        <v>118</v>
      </c>
      <c r="E157" s="3">
        <v>46183</v>
      </c>
      <c r="F157" s="3"/>
      <c r="G157" s="2" t="s">
        <v>251</v>
      </c>
      <c r="H157" s="11" t="s">
        <v>5</v>
      </c>
      <c r="I157" s="9" t="str">
        <f t="shared" si="2"/>
        <v/>
      </c>
    </row>
    <row r="158" spans="1:9">
      <c r="A158" s="2">
        <v>5157</v>
      </c>
      <c r="B158" s="2" t="s">
        <v>116</v>
      </c>
      <c r="C158" s="4" t="s">
        <v>277</v>
      </c>
      <c r="D158" s="2" t="s">
        <v>118</v>
      </c>
      <c r="E158" s="3">
        <v>46190</v>
      </c>
      <c r="F158" s="3"/>
      <c r="G158" s="2" t="s">
        <v>251</v>
      </c>
      <c r="H158" s="11" t="s">
        <v>5</v>
      </c>
      <c r="I158" s="9" t="str">
        <f t="shared" si="2"/>
        <v/>
      </c>
    </row>
    <row r="159" ht="45" spans="1:9">
      <c r="A159" s="2">
        <v>5158</v>
      </c>
      <c r="B159" s="2" t="s">
        <v>116</v>
      </c>
      <c r="C159" s="4" t="s">
        <v>278</v>
      </c>
      <c r="D159" s="2" t="s">
        <v>118</v>
      </c>
      <c r="E159" s="3">
        <v>46191</v>
      </c>
      <c r="F159" s="3"/>
      <c r="G159" s="2" t="s">
        <v>251</v>
      </c>
      <c r="H159" s="11" t="s">
        <v>5</v>
      </c>
      <c r="I159" s="9" t="str">
        <f t="shared" si="2"/>
        <v/>
      </c>
    </row>
    <row r="160" spans="1:9">
      <c r="A160" s="2">
        <v>5159</v>
      </c>
      <c r="B160" s="2" t="s">
        <v>121</v>
      </c>
      <c r="C160" s="4" t="s">
        <v>279</v>
      </c>
      <c r="D160" s="2" t="s">
        <v>118</v>
      </c>
      <c r="E160" s="3">
        <v>46196</v>
      </c>
      <c r="F160" s="3">
        <v>46234</v>
      </c>
      <c r="G160" s="2" t="s">
        <v>251</v>
      </c>
      <c r="H160" s="10" t="s">
        <v>44</v>
      </c>
      <c r="I160" s="9">
        <f t="shared" si="2"/>
        <v>38</v>
      </c>
    </row>
    <row r="161" spans="1:9">
      <c r="A161" s="2">
        <v>5160</v>
      </c>
      <c r="B161" s="2" t="s">
        <v>121</v>
      </c>
      <c r="C161" s="4" t="s">
        <v>280</v>
      </c>
      <c r="D161" s="2" t="s">
        <v>118</v>
      </c>
      <c r="E161" s="3">
        <v>46197</v>
      </c>
      <c r="F161" s="3"/>
      <c r="G161" s="2" t="s">
        <v>251</v>
      </c>
      <c r="H161" s="11" t="s">
        <v>5</v>
      </c>
      <c r="I161" s="9" t="str">
        <f t="shared" si="2"/>
        <v/>
      </c>
    </row>
    <row r="162" spans="1:9">
      <c r="A162" s="2">
        <v>5161</v>
      </c>
      <c r="B162" s="2" t="s">
        <v>121</v>
      </c>
      <c r="C162" s="4" t="s">
        <v>281</v>
      </c>
      <c r="D162" s="2" t="s">
        <v>118</v>
      </c>
      <c r="E162" s="3">
        <v>46203</v>
      </c>
      <c r="F162" s="3"/>
      <c r="G162" s="2" t="s">
        <v>251</v>
      </c>
      <c r="H162" s="11" t="s">
        <v>5</v>
      </c>
      <c r="I162" s="9" t="str">
        <f t="shared" si="2"/>
        <v/>
      </c>
    </row>
    <row r="163" ht="30" spans="1:9">
      <c r="A163" s="2">
        <v>5162</v>
      </c>
      <c r="B163" s="2" t="s">
        <v>116</v>
      </c>
      <c r="C163" s="4" t="s">
        <v>282</v>
      </c>
      <c r="D163" s="2" t="s">
        <v>118</v>
      </c>
      <c r="E163" s="3">
        <v>46204</v>
      </c>
      <c r="F163" s="3"/>
      <c r="G163" s="2" t="s">
        <v>251</v>
      </c>
      <c r="H163" s="11" t="s">
        <v>5</v>
      </c>
      <c r="I163" s="9" t="str">
        <f t="shared" si="2"/>
        <v/>
      </c>
    </row>
    <row r="164" spans="1:9">
      <c r="A164" s="2">
        <v>5163</v>
      </c>
      <c r="B164" s="2" t="s">
        <v>116</v>
      </c>
      <c r="C164" s="4" t="s">
        <v>283</v>
      </c>
      <c r="D164" s="2" t="s">
        <v>118</v>
      </c>
      <c r="E164" s="3">
        <v>46209</v>
      </c>
      <c r="F164" s="3"/>
      <c r="G164" s="2" t="s">
        <v>251</v>
      </c>
      <c r="H164" s="11" t="s">
        <v>5</v>
      </c>
      <c r="I164" s="9" t="str">
        <f t="shared" si="2"/>
        <v/>
      </c>
    </row>
    <row r="165" spans="1:9">
      <c r="A165" s="2">
        <v>5164</v>
      </c>
      <c r="B165" s="2" t="s">
        <v>116</v>
      </c>
      <c r="C165" s="4" t="s">
        <v>284</v>
      </c>
      <c r="D165" s="2" t="s">
        <v>118</v>
      </c>
      <c r="E165" s="3">
        <v>46210</v>
      </c>
      <c r="F165" s="3"/>
      <c r="G165" s="2" t="s">
        <v>251</v>
      </c>
      <c r="H165" s="11" t="s">
        <v>5</v>
      </c>
      <c r="I165" s="9" t="str">
        <f t="shared" si="2"/>
        <v/>
      </c>
    </row>
    <row r="166" spans="1:9">
      <c r="A166" s="2">
        <v>5165</v>
      </c>
      <c r="B166" s="2" t="s">
        <v>121</v>
      </c>
      <c r="C166" s="4" t="s">
        <v>256</v>
      </c>
      <c r="D166" s="2" t="s">
        <v>118</v>
      </c>
      <c r="E166" s="3">
        <v>46237</v>
      </c>
      <c r="F166" s="3">
        <v>46245</v>
      </c>
      <c r="G166" s="2" t="s">
        <v>119</v>
      </c>
      <c r="H166" s="8" t="s">
        <v>4</v>
      </c>
      <c r="I166" s="9">
        <f t="shared" si="2"/>
        <v>8</v>
      </c>
    </row>
    <row r="167" spans="1:9">
      <c r="A167" s="2">
        <v>5166</v>
      </c>
      <c r="B167" s="2" t="s">
        <v>116</v>
      </c>
      <c r="C167" s="4" t="s">
        <v>285</v>
      </c>
      <c r="D167" s="2" t="s">
        <v>118</v>
      </c>
      <c r="E167" s="3">
        <v>46237</v>
      </c>
      <c r="F167" s="3"/>
      <c r="G167" s="2" t="s">
        <v>251</v>
      </c>
      <c r="H167" s="11" t="s">
        <v>5</v>
      </c>
      <c r="I167" s="9" t="str">
        <f t="shared" si="2"/>
        <v/>
      </c>
    </row>
    <row r="168" spans="1:9">
      <c r="A168" s="2">
        <v>5167</v>
      </c>
      <c r="B168" s="2" t="s">
        <v>116</v>
      </c>
      <c r="C168" s="4" t="s">
        <v>286</v>
      </c>
      <c r="D168" s="2" t="s">
        <v>118</v>
      </c>
      <c r="E168" s="3">
        <v>46237</v>
      </c>
      <c r="F168" s="3"/>
      <c r="G168" s="2" t="s">
        <v>251</v>
      </c>
      <c r="H168" s="11" t="s">
        <v>5</v>
      </c>
      <c r="I168" s="9" t="str">
        <f t="shared" si="2"/>
        <v/>
      </c>
    </row>
    <row r="169" ht="30" spans="1:9">
      <c r="A169" s="2">
        <v>5168</v>
      </c>
      <c r="B169" s="2" t="s">
        <v>116</v>
      </c>
      <c r="C169" s="4" t="s">
        <v>287</v>
      </c>
      <c r="D169" s="2" t="s">
        <v>118</v>
      </c>
      <c r="E169" s="3">
        <v>46247</v>
      </c>
      <c r="F169" s="3"/>
      <c r="G169" s="2" t="s">
        <v>251</v>
      </c>
      <c r="H169" s="11" t="s">
        <v>5</v>
      </c>
      <c r="I169" s="9" t="str">
        <f t="shared" si="2"/>
        <v/>
      </c>
    </row>
    <row r="170" spans="1:9">
      <c r="A170" s="2">
        <v>5169</v>
      </c>
      <c r="B170" s="2" t="s">
        <v>116</v>
      </c>
      <c r="C170" s="4" t="s">
        <v>288</v>
      </c>
      <c r="D170" s="2" t="s">
        <v>118</v>
      </c>
      <c r="E170" s="3">
        <v>46247</v>
      </c>
      <c r="F170" s="3"/>
      <c r="G170" s="2" t="s">
        <v>251</v>
      </c>
      <c r="H170" s="11" t="s">
        <v>5</v>
      </c>
      <c r="I170" s="9" t="str">
        <f t="shared" si="2"/>
        <v/>
      </c>
    </row>
    <row r="171" ht="60" spans="1:9">
      <c r="A171" s="2">
        <v>5170</v>
      </c>
      <c r="B171" s="2" t="s">
        <v>116</v>
      </c>
      <c r="C171" s="4" t="s">
        <v>289</v>
      </c>
      <c r="D171" s="2" t="s">
        <v>118</v>
      </c>
      <c r="E171" s="3">
        <v>46270</v>
      </c>
      <c r="F171" s="3"/>
      <c r="G171" s="2" t="s">
        <v>251</v>
      </c>
      <c r="H171" s="5" t="s">
        <v>290</v>
      </c>
      <c r="I171" s="9" t="str">
        <f t="shared" si="2"/>
        <v/>
      </c>
    </row>
    <row r="172" ht="60" spans="1:9">
      <c r="A172" s="2">
        <v>5171</v>
      </c>
      <c r="B172" s="2" t="s">
        <v>116</v>
      </c>
      <c r="C172" s="4" t="s">
        <v>291</v>
      </c>
      <c r="D172" s="2" t="s">
        <v>118</v>
      </c>
      <c r="E172" s="3">
        <v>46270</v>
      </c>
      <c r="F172" s="3"/>
      <c r="G172" s="2" t="s">
        <v>251</v>
      </c>
      <c r="H172" s="5" t="s">
        <v>290</v>
      </c>
      <c r="I172" s="9" t="str">
        <f t="shared" si="2"/>
        <v/>
      </c>
    </row>
    <row r="173" spans="1:9">
      <c r="A173" s="2">
        <v>5172</v>
      </c>
      <c r="B173" s="2" t="s">
        <v>116</v>
      </c>
      <c r="C173" s="4" t="s">
        <v>292</v>
      </c>
      <c r="D173" s="2" t="s">
        <v>118</v>
      </c>
      <c r="E173" s="3">
        <v>46270</v>
      </c>
      <c r="F173" s="3"/>
      <c r="G173" s="2" t="s">
        <v>251</v>
      </c>
      <c r="H173" s="5" t="s">
        <v>290</v>
      </c>
      <c r="I173" s="9" t="str">
        <f t="shared" si="2"/>
        <v/>
      </c>
    </row>
    <row r="174" ht="30" spans="1:9">
      <c r="A174" s="2">
        <v>5173</v>
      </c>
      <c r="B174" s="2" t="s">
        <v>116</v>
      </c>
      <c r="C174" s="4" t="s">
        <v>293</v>
      </c>
      <c r="D174" s="2" t="s">
        <v>118</v>
      </c>
      <c r="E174" s="3">
        <v>46281</v>
      </c>
      <c r="F174" s="3"/>
      <c r="G174" s="2" t="s">
        <v>251</v>
      </c>
      <c r="H174" s="5" t="s">
        <v>290</v>
      </c>
      <c r="I174" s="9" t="str">
        <f t="shared" si="2"/>
        <v/>
      </c>
    </row>
    <row r="175" spans="1:9">
      <c r="A175" s="2">
        <v>5174</v>
      </c>
      <c r="B175" s="2" t="s">
        <v>116</v>
      </c>
      <c r="C175" s="4" t="s">
        <v>294</v>
      </c>
      <c r="D175" s="2" t="s">
        <v>118</v>
      </c>
      <c r="E175" s="3">
        <v>46282</v>
      </c>
      <c r="F175" s="3"/>
      <c r="G175" s="2" t="s">
        <v>251</v>
      </c>
      <c r="H175" s="5" t="s">
        <v>290</v>
      </c>
      <c r="I175" s="9" t="str">
        <f t="shared" si="2"/>
        <v/>
      </c>
    </row>
    <row r="176" spans="1:9">
      <c r="A176" s="2">
        <v>5175</v>
      </c>
      <c r="B176" s="2" t="s">
        <v>121</v>
      </c>
      <c r="C176" s="4" t="s">
        <v>295</v>
      </c>
      <c r="D176" s="2" t="s">
        <v>118</v>
      </c>
      <c r="E176" s="3">
        <v>46282</v>
      </c>
      <c r="F176" s="3"/>
      <c r="G176" s="2" t="s">
        <v>251</v>
      </c>
      <c r="H176" s="11" t="s">
        <v>5</v>
      </c>
      <c r="I176" s="9" t="str">
        <f t="shared" si="2"/>
        <v/>
      </c>
    </row>
  </sheetData>
  <autoFilter xmlns:etc="http://www.wps.cn/officeDocument/2017/etCustomData" ref="A1:I17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3" width="16" customWidth="1"/>
    <col min="4" max="4" width="18" customWidth="1"/>
    <col min="5" max="5" width="14" customWidth="1"/>
    <col min="6" max="6" width="55" customWidth="1"/>
    <col min="7" max="7" width="14" customWidth="1"/>
    <col min="8" max="8" width="18" customWidth="1"/>
    <col min="9" max="10" width="22" customWidth="1"/>
    <col min="11" max="11" width="26" customWidth="1"/>
    <col min="12" max="13" width="20" customWidth="1"/>
    <col min="14" max="14" width="55" customWidth="1"/>
    <col min="15" max="15" width="18" customWidth="1"/>
  </cols>
  <sheetData>
    <row r="1" spans="1:15">
      <c r="A1" s="1" t="s">
        <v>296</v>
      </c>
      <c r="B1" s="1" t="s">
        <v>297</v>
      </c>
      <c r="C1" s="1" t="s">
        <v>298</v>
      </c>
      <c r="D1" s="1" t="s">
        <v>299</v>
      </c>
      <c r="E1" s="1" t="s">
        <v>107</v>
      </c>
      <c r="F1" s="1" t="s">
        <v>109</v>
      </c>
      <c r="G1" s="1" t="s">
        <v>114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</row>
    <row r="2" ht="45" spans="1:15">
      <c r="A2" s="2" t="s">
        <v>308</v>
      </c>
      <c r="B2" s="2" t="s">
        <v>309</v>
      </c>
      <c r="C2" s="2" t="s">
        <v>310</v>
      </c>
      <c r="D2" s="3">
        <v>46218</v>
      </c>
      <c r="E2" s="2">
        <v>5001</v>
      </c>
      <c r="F2" s="4" t="s">
        <v>117</v>
      </c>
      <c r="G2" s="2" t="s">
        <v>4</v>
      </c>
      <c r="H2" s="3">
        <v>45958</v>
      </c>
      <c r="I2" s="3" t="s">
        <v>30</v>
      </c>
      <c r="J2" s="2" t="s">
        <v>30</v>
      </c>
      <c r="K2" s="4" t="s">
        <v>30</v>
      </c>
      <c r="L2" s="4" t="s">
        <v>30</v>
      </c>
      <c r="M2" s="2" t="s">
        <v>30</v>
      </c>
      <c r="N2" s="4" t="s">
        <v>311</v>
      </c>
      <c r="O2" s="3" t="s">
        <v>30</v>
      </c>
    </row>
    <row r="3" ht="45" spans="1:15">
      <c r="A3" s="2" t="s">
        <v>308</v>
      </c>
      <c r="B3" s="2" t="s">
        <v>309</v>
      </c>
      <c r="C3" s="2" t="s">
        <v>312</v>
      </c>
      <c r="D3" s="3">
        <v>46280</v>
      </c>
      <c r="E3" s="2">
        <v>5003</v>
      </c>
      <c r="F3" s="4" t="s">
        <v>122</v>
      </c>
      <c r="G3" s="2" t="s">
        <v>4</v>
      </c>
      <c r="H3" s="3">
        <v>45772</v>
      </c>
      <c r="I3" s="3" t="s">
        <v>30</v>
      </c>
      <c r="J3" s="2" t="s">
        <v>30</v>
      </c>
      <c r="K3" s="4" t="s">
        <v>30</v>
      </c>
      <c r="L3" s="4" t="s">
        <v>30</v>
      </c>
      <c r="M3" s="2" t="s">
        <v>30</v>
      </c>
      <c r="N3" s="4" t="s">
        <v>311</v>
      </c>
      <c r="O3" s="3" t="s">
        <v>30</v>
      </c>
    </row>
    <row r="4" ht="45" spans="1:15">
      <c r="A4" s="2" t="s">
        <v>308</v>
      </c>
      <c r="B4" s="2" t="s">
        <v>309</v>
      </c>
      <c r="C4" s="2" t="s">
        <v>310</v>
      </c>
      <c r="D4" s="3">
        <v>46218</v>
      </c>
      <c r="E4" s="2">
        <v>5004</v>
      </c>
      <c r="F4" s="4" t="s">
        <v>123</v>
      </c>
      <c r="G4" s="2" t="s">
        <v>4</v>
      </c>
      <c r="H4" s="3">
        <v>45772</v>
      </c>
      <c r="I4" s="3" t="s">
        <v>30</v>
      </c>
      <c r="J4" s="2" t="s">
        <v>30</v>
      </c>
      <c r="K4" s="4" t="s">
        <v>30</v>
      </c>
      <c r="L4" s="4" t="s">
        <v>30</v>
      </c>
      <c r="M4" s="2" t="s">
        <v>30</v>
      </c>
      <c r="N4" s="4" t="s">
        <v>311</v>
      </c>
      <c r="O4" s="3" t="s">
        <v>30</v>
      </c>
    </row>
    <row r="5" ht="45" spans="1:15">
      <c r="A5" s="5" t="s">
        <v>313</v>
      </c>
      <c r="B5" s="5" t="s">
        <v>309</v>
      </c>
      <c r="C5" s="5" t="s">
        <v>314</v>
      </c>
      <c r="D5" s="6">
        <v>46249</v>
      </c>
      <c r="E5" s="5">
        <v>5005</v>
      </c>
      <c r="F5" s="7" t="s">
        <v>124</v>
      </c>
      <c r="G5" s="5" t="s">
        <v>4</v>
      </c>
      <c r="H5" s="6">
        <v>46111</v>
      </c>
      <c r="I5" s="6" t="s">
        <v>30</v>
      </c>
      <c r="J5" s="5" t="s">
        <v>30</v>
      </c>
      <c r="K5" s="7" t="s">
        <v>30</v>
      </c>
      <c r="L5" s="7" t="s">
        <v>30</v>
      </c>
      <c r="M5" s="5" t="s">
        <v>30</v>
      </c>
      <c r="N5" s="7" t="s">
        <v>311</v>
      </c>
      <c r="O5" s="6" t="s">
        <v>30</v>
      </c>
    </row>
    <row r="6" ht="45" spans="1:15">
      <c r="A6" s="5" t="s">
        <v>313</v>
      </c>
      <c r="B6" s="5" t="s">
        <v>309</v>
      </c>
      <c r="C6" s="5" t="s">
        <v>314</v>
      </c>
      <c r="D6" s="6">
        <v>46249</v>
      </c>
      <c r="E6" s="5">
        <v>5008</v>
      </c>
      <c r="F6" s="7" t="s">
        <v>127</v>
      </c>
      <c r="G6" s="5" t="s">
        <v>4</v>
      </c>
      <c r="H6" s="6">
        <v>45772</v>
      </c>
      <c r="I6" s="6" t="s">
        <v>30</v>
      </c>
      <c r="J6" s="5" t="s">
        <v>30</v>
      </c>
      <c r="K6" s="7" t="s">
        <v>30</v>
      </c>
      <c r="L6" s="7" t="s">
        <v>30</v>
      </c>
      <c r="M6" s="5" t="s">
        <v>30</v>
      </c>
      <c r="N6" s="7" t="s">
        <v>311</v>
      </c>
      <c r="O6" s="6" t="s">
        <v>30</v>
      </c>
    </row>
    <row r="7" ht="45" spans="1:15">
      <c r="A7" s="2" t="s">
        <v>308</v>
      </c>
      <c r="B7" s="2" t="s">
        <v>309</v>
      </c>
      <c r="C7" s="2" t="s">
        <v>312</v>
      </c>
      <c r="D7" s="3">
        <v>46280</v>
      </c>
      <c r="E7" s="2">
        <v>5009</v>
      </c>
      <c r="F7" s="4" t="s">
        <v>128</v>
      </c>
      <c r="G7" s="2" t="s">
        <v>4</v>
      </c>
      <c r="H7" s="3">
        <v>45772</v>
      </c>
      <c r="I7" s="3" t="s">
        <v>30</v>
      </c>
      <c r="J7" s="2" t="s">
        <v>30</v>
      </c>
      <c r="K7" s="4" t="s">
        <v>30</v>
      </c>
      <c r="L7" s="4" t="s">
        <v>30</v>
      </c>
      <c r="M7" s="2" t="s">
        <v>30</v>
      </c>
      <c r="N7" s="4" t="s">
        <v>311</v>
      </c>
      <c r="O7" s="3" t="s">
        <v>30</v>
      </c>
    </row>
    <row r="8" ht="45" spans="1:15">
      <c r="A8" s="2" t="s">
        <v>308</v>
      </c>
      <c r="B8" s="2" t="s">
        <v>309</v>
      </c>
      <c r="C8" s="2" t="s">
        <v>310</v>
      </c>
      <c r="D8" s="3">
        <v>46218</v>
      </c>
      <c r="E8" s="2">
        <v>5010</v>
      </c>
      <c r="F8" s="4" t="s">
        <v>130</v>
      </c>
      <c r="G8" s="2" t="s">
        <v>4</v>
      </c>
      <c r="H8" s="3">
        <v>45855</v>
      </c>
      <c r="I8" s="3" t="s">
        <v>30</v>
      </c>
      <c r="J8" s="2" t="s">
        <v>30</v>
      </c>
      <c r="K8" s="4" t="s">
        <v>30</v>
      </c>
      <c r="L8" s="4" t="s">
        <v>30</v>
      </c>
      <c r="M8" s="2" t="s">
        <v>30</v>
      </c>
      <c r="N8" s="4" t="s">
        <v>311</v>
      </c>
      <c r="O8" s="3" t="s">
        <v>30</v>
      </c>
    </row>
    <row r="9" ht="45" spans="1:15">
      <c r="A9" s="5" t="s">
        <v>313</v>
      </c>
      <c r="B9" s="5" t="s">
        <v>309</v>
      </c>
      <c r="C9" s="5" t="s">
        <v>314</v>
      </c>
      <c r="D9" s="6">
        <v>46249</v>
      </c>
      <c r="E9" s="5">
        <v>5011</v>
      </c>
      <c r="F9" s="7" t="s">
        <v>131</v>
      </c>
      <c r="G9" s="5" t="s">
        <v>4</v>
      </c>
      <c r="H9" s="6">
        <v>45958</v>
      </c>
      <c r="I9" s="6" t="s">
        <v>30</v>
      </c>
      <c r="J9" s="5" t="s">
        <v>30</v>
      </c>
      <c r="K9" s="7" t="s">
        <v>30</v>
      </c>
      <c r="L9" s="7" t="s">
        <v>30</v>
      </c>
      <c r="M9" s="5" t="s">
        <v>30</v>
      </c>
      <c r="N9" s="7" t="s">
        <v>311</v>
      </c>
      <c r="O9" s="6" t="s">
        <v>30</v>
      </c>
    </row>
    <row r="10" ht="45" spans="1:15">
      <c r="A10" s="2" t="s">
        <v>308</v>
      </c>
      <c r="B10" s="2" t="s">
        <v>309</v>
      </c>
      <c r="C10" s="2" t="s">
        <v>312</v>
      </c>
      <c r="D10" s="3">
        <v>46280</v>
      </c>
      <c r="E10" s="2">
        <v>5012</v>
      </c>
      <c r="F10" s="4" t="s">
        <v>132</v>
      </c>
      <c r="G10" s="2" t="s">
        <v>4</v>
      </c>
      <c r="H10" s="3">
        <v>45772</v>
      </c>
      <c r="I10" s="3" t="s">
        <v>30</v>
      </c>
      <c r="J10" s="2" t="s">
        <v>30</v>
      </c>
      <c r="K10" s="4" t="s">
        <v>30</v>
      </c>
      <c r="L10" s="4" t="s">
        <v>30</v>
      </c>
      <c r="M10" s="2" t="s">
        <v>30</v>
      </c>
      <c r="N10" s="4" t="s">
        <v>311</v>
      </c>
      <c r="O10" s="3" t="s">
        <v>30</v>
      </c>
    </row>
    <row r="11" ht="45" spans="1:15">
      <c r="A11" s="2" t="s">
        <v>308</v>
      </c>
      <c r="B11" s="2" t="s">
        <v>309</v>
      </c>
      <c r="C11" s="2" t="s">
        <v>310</v>
      </c>
      <c r="D11" s="3">
        <v>46218</v>
      </c>
      <c r="E11" s="2">
        <v>5013</v>
      </c>
      <c r="F11" s="4" t="s">
        <v>133</v>
      </c>
      <c r="G11" s="2" t="s">
        <v>4</v>
      </c>
      <c r="H11" s="3">
        <v>45772</v>
      </c>
      <c r="I11" s="3" t="s">
        <v>30</v>
      </c>
      <c r="J11" s="2" t="s">
        <v>30</v>
      </c>
      <c r="K11" s="4" t="s">
        <v>30</v>
      </c>
      <c r="L11" s="4" t="s">
        <v>30</v>
      </c>
      <c r="M11" s="2" t="s">
        <v>30</v>
      </c>
      <c r="N11" s="4" t="s">
        <v>311</v>
      </c>
      <c r="O11" s="3" t="s">
        <v>30</v>
      </c>
    </row>
    <row r="12" ht="45" spans="1:15">
      <c r="A12" s="5" t="s">
        <v>313</v>
      </c>
      <c r="B12" s="5" t="s">
        <v>309</v>
      </c>
      <c r="C12" s="5" t="s">
        <v>314</v>
      </c>
      <c r="D12" s="6">
        <v>46249</v>
      </c>
      <c r="E12" s="5">
        <v>5014</v>
      </c>
      <c r="F12" s="7" t="s">
        <v>134</v>
      </c>
      <c r="G12" s="5" t="s">
        <v>4</v>
      </c>
      <c r="H12" s="6">
        <v>45772</v>
      </c>
      <c r="I12" s="6" t="s">
        <v>30</v>
      </c>
      <c r="J12" s="5" t="s">
        <v>30</v>
      </c>
      <c r="K12" s="7" t="s">
        <v>30</v>
      </c>
      <c r="L12" s="7" t="s">
        <v>30</v>
      </c>
      <c r="M12" s="5" t="s">
        <v>30</v>
      </c>
      <c r="N12" s="7" t="s">
        <v>311</v>
      </c>
      <c r="O12" s="6" t="s">
        <v>30</v>
      </c>
    </row>
    <row r="13" ht="45" spans="1:15">
      <c r="A13" s="2" t="s">
        <v>308</v>
      </c>
      <c r="B13" s="2" t="s">
        <v>309</v>
      </c>
      <c r="C13" s="2" t="s">
        <v>312</v>
      </c>
      <c r="D13" s="3">
        <v>46280</v>
      </c>
      <c r="E13" s="2">
        <v>5015</v>
      </c>
      <c r="F13" s="4" t="s">
        <v>135</v>
      </c>
      <c r="G13" s="2" t="s">
        <v>4</v>
      </c>
      <c r="H13" s="3">
        <v>45772</v>
      </c>
      <c r="I13" s="3" t="s">
        <v>30</v>
      </c>
      <c r="J13" s="2" t="s">
        <v>30</v>
      </c>
      <c r="K13" s="4" t="s">
        <v>30</v>
      </c>
      <c r="L13" s="4" t="s">
        <v>30</v>
      </c>
      <c r="M13" s="2" t="s">
        <v>30</v>
      </c>
      <c r="N13" s="4" t="s">
        <v>311</v>
      </c>
      <c r="O13" s="3" t="s">
        <v>30</v>
      </c>
    </row>
    <row r="14" ht="45" spans="1:15">
      <c r="A14" s="2" t="s">
        <v>308</v>
      </c>
      <c r="B14" s="2" t="s">
        <v>309</v>
      </c>
      <c r="C14" s="2" t="s">
        <v>310</v>
      </c>
      <c r="D14" s="3">
        <v>46218</v>
      </c>
      <c r="E14" s="2">
        <v>5016</v>
      </c>
      <c r="F14" s="4" t="s">
        <v>136</v>
      </c>
      <c r="G14" s="2" t="s">
        <v>4</v>
      </c>
      <c r="H14" s="3">
        <v>45772</v>
      </c>
      <c r="I14" s="3" t="s">
        <v>30</v>
      </c>
      <c r="J14" s="2" t="s">
        <v>30</v>
      </c>
      <c r="K14" s="4" t="s">
        <v>30</v>
      </c>
      <c r="L14" s="4" t="s">
        <v>30</v>
      </c>
      <c r="M14" s="2" t="s">
        <v>30</v>
      </c>
      <c r="N14" s="4" t="s">
        <v>311</v>
      </c>
      <c r="O14" s="3" t="s">
        <v>30</v>
      </c>
    </row>
    <row r="15" ht="45" spans="1:15">
      <c r="A15" s="5" t="s">
        <v>313</v>
      </c>
      <c r="B15" s="5" t="s">
        <v>309</v>
      </c>
      <c r="C15" s="5" t="s">
        <v>314</v>
      </c>
      <c r="D15" s="6">
        <v>46249</v>
      </c>
      <c r="E15" s="5">
        <v>5017</v>
      </c>
      <c r="F15" s="7" t="s">
        <v>137</v>
      </c>
      <c r="G15" s="5" t="s">
        <v>4</v>
      </c>
      <c r="H15" s="6">
        <v>45772</v>
      </c>
      <c r="I15" s="6" t="s">
        <v>30</v>
      </c>
      <c r="J15" s="5" t="s">
        <v>30</v>
      </c>
      <c r="K15" s="7" t="s">
        <v>30</v>
      </c>
      <c r="L15" s="7" t="s">
        <v>30</v>
      </c>
      <c r="M15" s="5" t="s">
        <v>30</v>
      </c>
      <c r="N15" s="7" t="s">
        <v>311</v>
      </c>
      <c r="O15" s="6" t="s">
        <v>30</v>
      </c>
    </row>
    <row r="16" ht="45" spans="1:15">
      <c r="A16" s="2" t="s">
        <v>308</v>
      </c>
      <c r="B16" s="2" t="s">
        <v>309</v>
      </c>
      <c r="C16" s="2" t="s">
        <v>312</v>
      </c>
      <c r="D16" s="3">
        <v>46280</v>
      </c>
      <c r="E16" s="2">
        <v>5018</v>
      </c>
      <c r="F16" s="4" t="s">
        <v>138</v>
      </c>
      <c r="G16" s="2" t="s">
        <v>4</v>
      </c>
      <c r="H16" s="3">
        <v>45772</v>
      </c>
      <c r="I16" s="3" t="s">
        <v>30</v>
      </c>
      <c r="J16" s="2" t="s">
        <v>30</v>
      </c>
      <c r="K16" s="4" t="s">
        <v>30</v>
      </c>
      <c r="L16" s="4" t="s">
        <v>30</v>
      </c>
      <c r="M16" s="2" t="s">
        <v>30</v>
      </c>
      <c r="N16" s="4" t="s">
        <v>311</v>
      </c>
      <c r="O16" s="3" t="s">
        <v>30</v>
      </c>
    </row>
    <row r="17" ht="45" spans="1:15">
      <c r="A17" s="2" t="s">
        <v>308</v>
      </c>
      <c r="B17" s="2" t="s">
        <v>309</v>
      </c>
      <c r="C17" s="2" t="s">
        <v>310</v>
      </c>
      <c r="D17" s="3">
        <v>46218</v>
      </c>
      <c r="E17" s="2">
        <v>5019</v>
      </c>
      <c r="F17" s="4" t="s">
        <v>139</v>
      </c>
      <c r="G17" s="2" t="s">
        <v>4</v>
      </c>
      <c r="H17" s="3">
        <v>45772</v>
      </c>
      <c r="I17" s="3" t="s">
        <v>30</v>
      </c>
      <c r="J17" s="2" t="s">
        <v>30</v>
      </c>
      <c r="K17" s="4" t="s">
        <v>30</v>
      </c>
      <c r="L17" s="4" t="s">
        <v>30</v>
      </c>
      <c r="M17" s="2" t="s">
        <v>30</v>
      </c>
      <c r="N17" s="4" t="s">
        <v>311</v>
      </c>
      <c r="O17" s="3" t="s">
        <v>30</v>
      </c>
    </row>
    <row r="18" ht="45" spans="1:15">
      <c r="A18" s="5" t="s">
        <v>313</v>
      </c>
      <c r="B18" s="5" t="s">
        <v>309</v>
      </c>
      <c r="C18" s="5" t="s">
        <v>314</v>
      </c>
      <c r="D18" s="6">
        <v>46249</v>
      </c>
      <c r="E18" s="5">
        <v>5020</v>
      </c>
      <c r="F18" s="7" t="s">
        <v>140</v>
      </c>
      <c r="G18" s="5" t="s">
        <v>4</v>
      </c>
      <c r="H18" s="6">
        <v>45838</v>
      </c>
      <c r="I18" s="6" t="s">
        <v>30</v>
      </c>
      <c r="J18" s="5" t="s">
        <v>30</v>
      </c>
      <c r="K18" s="7" t="s">
        <v>30</v>
      </c>
      <c r="L18" s="7" t="s">
        <v>30</v>
      </c>
      <c r="M18" s="5" t="s">
        <v>30</v>
      </c>
      <c r="N18" s="7" t="s">
        <v>311</v>
      </c>
      <c r="O18" s="6" t="s">
        <v>30</v>
      </c>
    </row>
    <row r="19" ht="45" spans="1:15">
      <c r="A19" s="2" t="s">
        <v>308</v>
      </c>
      <c r="B19" s="2" t="s">
        <v>309</v>
      </c>
      <c r="C19" s="2" t="s">
        <v>312</v>
      </c>
      <c r="D19" s="3">
        <v>46280</v>
      </c>
      <c r="E19" s="2">
        <v>5021</v>
      </c>
      <c r="F19" s="4" t="s">
        <v>141</v>
      </c>
      <c r="G19" s="2" t="s">
        <v>4</v>
      </c>
      <c r="H19" s="3">
        <v>45772</v>
      </c>
      <c r="I19" s="3" t="s">
        <v>30</v>
      </c>
      <c r="J19" s="2" t="s">
        <v>30</v>
      </c>
      <c r="K19" s="4" t="s">
        <v>30</v>
      </c>
      <c r="L19" s="4" t="s">
        <v>30</v>
      </c>
      <c r="M19" s="2" t="s">
        <v>30</v>
      </c>
      <c r="N19" s="4" t="s">
        <v>311</v>
      </c>
      <c r="O19" s="3" t="s">
        <v>30</v>
      </c>
    </row>
    <row r="20" ht="45" spans="1:15">
      <c r="A20" s="2" t="s">
        <v>308</v>
      </c>
      <c r="B20" s="2" t="s">
        <v>309</v>
      </c>
      <c r="C20" s="2" t="s">
        <v>310</v>
      </c>
      <c r="D20" s="3">
        <v>46218</v>
      </c>
      <c r="E20" s="2">
        <v>5022</v>
      </c>
      <c r="F20" s="4" t="s">
        <v>142</v>
      </c>
      <c r="G20" s="2" t="s">
        <v>4</v>
      </c>
      <c r="H20" s="3">
        <v>45772</v>
      </c>
      <c r="I20" s="3" t="s">
        <v>30</v>
      </c>
      <c r="J20" s="2" t="s">
        <v>30</v>
      </c>
      <c r="K20" s="4" t="s">
        <v>30</v>
      </c>
      <c r="L20" s="4" t="s">
        <v>30</v>
      </c>
      <c r="M20" s="2" t="s">
        <v>30</v>
      </c>
      <c r="N20" s="4" t="s">
        <v>311</v>
      </c>
      <c r="O20" s="3" t="s">
        <v>30</v>
      </c>
    </row>
    <row r="21" ht="45" spans="1:15">
      <c r="A21" s="2" t="s">
        <v>308</v>
      </c>
      <c r="B21" s="2" t="s">
        <v>309</v>
      </c>
      <c r="C21" s="2" t="s">
        <v>312</v>
      </c>
      <c r="D21" s="3">
        <v>46280</v>
      </c>
      <c r="E21" s="2">
        <v>5024</v>
      </c>
      <c r="F21" s="4" t="s">
        <v>144</v>
      </c>
      <c r="G21" s="2" t="s">
        <v>4</v>
      </c>
      <c r="H21" s="3">
        <v>45772</v>
      </c>
      <c r="I21" s="3" t="s">
        <v>30</v>
      </c>
      <c r="J21" s="2" t="s">
        <v>30</v>
      </c>
      <c r="K21" s="4" t="s">
        <v>30</v>
      </c>
      <c r="L21" s="4" t="s">
        <v>30</v>
      </c>
      <c r="M21" s="2" t="s">
        <v>30</v>
      </c>
      <c r="N21" s="4" t="s">
        <v>311</v>
      </c>
      <c r="O21" s="3" t="s">
        <v>30</v>
      </c>
    </row>
    <row r="22" ht="45" spans="1:15">
      <c r="A22" s="2" t="s">
        <v>308</v>
      </c>
      <c r="B22" s="2" t="s">
        <v>309</v>
      </c>
      <c r="C22" s="2" t="s">
        <v>310</v>
      </c>
      <c r="D22" s="3">
        <v>46218</v>
      </c>
      <c r="E22" s="2">
        <v>5025</v>
      </c>
      <c r="F22" s="4" t="s">
        <v>145</v>
      </c>
      <c r="G22" s="2" t="s">
        <v>4</v>
      </c>
      <c r="H22" s="3">
        <v>46080</v>
      </c>
      <c r="I22" s="3" t="s">
        <v>30</v>
      </c>
      <c r="J22" s="2" t="s">
        <v>30</v>
      </c>
      <c r="K22" s="4" t="s">
        <v>30</v>
      </c>
      <c r="L22" s="4" t="s">
        <v>30</v>
      </c>
      <c r="M22" s="2" t="s">
        <v>30</v>
      </c>
      <c r="N22" s="4" t="s">
        <v>311</v>
      </c>
      <c r="O22" s="3" t="s">
        <v>30</v>
      </c>
    </row>
    <row r="23" ht="45" spans="1:15">
      <c r="A23" s="5" t="s">
        <v>313</v>
      </c>
      <c r="B23" s="5" t="s">
        <v>309</v>
      </c>
      <c r="C23" s="5" t="s">
        <v>314</v>
      </c>
      <c r="D23" s="6">
        <v>46249</v>
      </c>
      <c r="E23" s="5">
        <v>5026</v>
      </c>
      <c r="F23" s="7" t="s">
        <v>146</v>
      </c>
      <c r="G23" s="5" t="s">
        <v>4</v>
      </c>
      <c r="H23" s="6">
        <v>46111</v>
      </c>
      <c r="I23" s="6" t="s">
        <v>30</v>
      </c>
      <c r="J23" s="5" t="s">
        <v>30</v>
      </c>
      <c r="K23" s="7" t="s">
        <v>30</v>
      </c>
      <c r="L23" s="7" t="s">
        <v>30</v>
      </c>
      <c r="M23" s="5" t="s">
        <v>30</v>
      </c>
      <c r="N23" s="7" t="s">
        <v>311</v>
      </c>
      <c r="O23" s="6" t="s">
        <v>30</v>
      </c>
    </row>
    <row r="24" ht="45" spans="1:15">
      <c r="A24" s="2" t="s">
        <v>308</v>
      </c>
      <c r="B24" s="2" t="s">
        <v>309</v>
      </c>
      <c r="C24" s="2" t="s">
        <v>310</v>
      </c>
      <c r="D24" s="3">
        <v>46218</v>
      </c>
      <c r="E24" s="2">
        <v>5028</v>
      </c>
      <c r="F24" s="4" t="s">
        <v>148</v>
      </c>
      <c r="G24" s="2" t="s">
        <v>4</v>
      </c>
      <c r="H24" s="3">
        <v>46050</v>
      </c>
      <c r="I24" s="3" t="s">
        <v>30</v>
      </c>
      <c r="J24" s="2" t="s">
        <v>30</v>
      </c>
      <c r="K24" s="4" t="s">
        <v>30</v>
      </c>
      <c r="L24" s="4" t="s">
        <v>30</v>
      </c>
      <c r="M24" s="2" t="s">
        <v>30</v>
      </c>
      <c r="N24" s="4" t="s">
        <v>311</v>
      </c>
      <c r="O24" s="3" t="s">
        <v>30</v>
      </c>
    </row>
    <row r="25" ht="45" spans="1:15">
      <c r="A25" s="5" t="s">
        <v>313</v>
      </c>
      <c r="B25" s="5" t="s">
        <v>309</v>
      </c>
      <c r="C25" s="5" t="s">
        <v>314</v>
      </c>
      <c r="D25" s="6">
        <v>46249</v>
      </c>
      <c r="E25" s="5">
        <v>5029</v>
      </c>
      <c r="F25" s="7" t="s">
        <v>149</v>
      </c>
      <c r="G25" s="5" t="s">
        <v>4</v>
      </c>
      <c r="H25" s="6">
        <v>45958</v>
      </c>
      <c r="I25" s="6" t="s">
        <v>30</v>
      </c>
      <c r="J25" s="5" t="s">
        <v>30</v>
      </c>
      <c r="K25" s="7" t="s">
        <v>30</v>
      </c>
      <c r="L25" s="7" t="s">
        <v>30</v>
      </c>
      <c r="M25" s="5" t="s">
        <v>30</v>
      </c>
      <c r="N25" s="7" t="s">
        <v>311</v>
      </c>
      <c r="O25" s="6" t="s">
        <v>30</v>
      </c>
    </row>
    <row r="26" ht="45" spans="1:15">
      <c r="A26" s="2" t="s">
        <v>308</v>
      </c>
      <c r="B26" s="2" t="s">
        <v>309</v>
      </c>
      <c r="C26" s="2" t="s">
        <v>312</v>
      </c>
      <c r="D26" s="3">
        <v>46280</v>
      </c>
      <c r="E26" s="2">
        <v>5030</v>
      </c>
      <c r="F26" s="4" t="s">
        <v>150</v>
      </c>
      <c r="G26" s="2" t="s">
        <v>4</v>
      </c>
      <c r="H26" s="3">
        <v>45958</v>
      </c>
      <c r="I26" s="3" t="s">
        <v>30</v>
      </c>
      <c r="J26" s="2" t="s">
        <v>30</v>
      </c>
      <c r="K26" s="4" t="s">
        <v>30</v>
      </c>
      <c r="L26" s="4" t="s">
        <v>30</v>
      </c>
      <c r="M26" s="2" t="s">
        <v>30</v>
      </c>
      <c r="N26" s="4" t="s">
        <v>311</v>
      </c>
      <c r="O26" s="3" t="s">
        <v>30</v>
      </c>
    </row>
    <row r="27" ht="45" spans="1:15">
      <c r="A27" s="5" t="s">
        <v>313</v>
      </c>
      <c r="B27" s="5" t="s">
        <v>309</v>
      </c>
      <c r="C27" s="5" t="s">
        <v>314</v>
      </c>
      <c r="D27" s="6">
        <v>46249</v>
      </c>
      <c r="E27" s="5">
        <v>5032</v>
      </c>
      <c r="F27" s="7" t="s">
        <v>152</v>
      </c>
      <c r="G27" s="5" t="s">
        <v>4</v>
      </c>
      <c r="H27" s="6">
        <v>45958</v>
      </c>
      <c r="I27" s="6" t="s">
        <v>30</v>
      </c>
      <c r="J27" s="5" t="s">
        <v>30</v>
      </c>
      <c r="K27" s="7" t="s">
        <v>30</v>
      </c>
      <c r="L27" s="7" t="s">
        <v>30</v>
      </c>
      <c r="M27" s="5" t="s">
        <v>30</v>
      </c>
      <c r="N27" s="7" t="s">
        <v>311</v>
      </c>
      <c r="O27" s="6" t="s">
        <v>30</v>
      </c>
    </row>
    <row r="28" ht="45" spans="1:15">
      <c r="A28" s="2" t="s">
        <v>308</v>
      </c>
      <c r="B28" s="2" t="s">
        <v>309</v>
      </c>
      <c r="C28" s="2" t="s">
        <v>310</v>
      </c>
      <c r="D28" s="3">
        <v>46218</v>
      </c>
      <c r="E28" s="2">
        <v>5034</v>
      </c>
      <c r="F28" s="4" t="s">
        <v>154</v>
      </c>
      <c r="G28" s="2" t="s">
        <v>4</v>
      </c>
      <c r="H28" s="3">
        <v>45958</v>
      </c>
      <c r="I28" s="3" t="s">
        <v>30</v>
      </c>
      <c r="J28" s="2" t="s">
        <v>30</v>
      </c>
      <c r="K28" s="4" t="s">
        <v>30</v>
      </c>
      <c r="L28" s="4" t="s">
        <v>30</v>
      </c>
      <c r="M28" s="2" t="s">
        <v>30</v>
      </c>
      <c r="N28" s="4" t="s">
        <v>311</v>
      </c>
      <c r="O28" s="3" t="s">
        <v>30</v>
      </c>
    </row>
    <row r="29" ht="45" spans="1:15">
      <c r="A29" s="5" t="s">
        <v>313</v>
      </c>
      <c r="B29" s="5" t="s">
        <v>309</v>
      </c>
      <c r="C29" s="5" t="s">
        <v>314</v>
      </c>
      <c r="D29" s="6">
        <v>46249</v>
      </c>
      <c r="E29" s="5">
        <v>5035</v>
      </c>
      <c r="F29" s="7" t="s">
        <v>155</v>
      </c>
      <c r="G29" s="5" t="s">
        <v>4</v>
      </c>
      <c r="H29" s="6">
        <v>46140</v>
      </c>
      <c r="I29" s="6" t="s">
        <v>30</v>
      </c>
      <c r="J29" s="5" t="s">
        <v>30</v>
      </c>
      <c r="K29" s="7" t="s">
        <v>30</v>
      </c>
      <c r="L29" s="7" t="s">
        <v>30</v>
      </c>
      <c r="M29" s="5" t="s">
        <v>30</v>
      </c>
      <c r="N29" s="7" t="s">
        <v>311</v>
      </c>
      <c r="O29" s="6" t="s">
        <v>30</v>
      </c>
    </row>
    <row r="30" ht="45" spans="1:15">
      <c r="A30" s="2" t="s">
        <v>308</v>
      </c>
      <c r="B30" s="2" t="s">
        <v>309</v>
      </c>
      <c r="C30" s="2" t="s">
        <v>312</v>
      </c>
      <c r="D30" s="3">
        <v>46280</v>
      </c>
      <c r="E30" s="2">
        <v>5036</v>
      </c>
      <c r="F30" s="4" t="s">
        <v>156</v>
      </c>
      <c r="G30" s="2" t="s">
        <v>4</v>
      </c>
      <c r="H30" s="3">
        <v>45958</v>
      </c>
      <c r="I30" s="3" t="s">
        <v>30</v>
      </c>
      <c r="J30" s="2" t="s">
        <v>30</v>
      </c>
      <c r="K30" s="4" t="s">
        <v>30</v>
      </c>
      <c r="L30" s="4" t="s">
        <v>30</v>
      </c>
      <c r="M30" s="2" t="s">
        <v>30</v>
      </c>
      <c r="N30" s="4" t="s">
        <v>311</v>
      </c>
      <c r="O30" s="3" t="s">
        <v>30</v>
      </c>
    </row>
    <row r="31" ht="45" spans="1:15">
      <c r="A31" s="2" t="s">
        <v>308</v>
      </c>
      <c r="B31" s="2" t="s">
        <v>309</v>
      </c>
      <c r="C31" s="2" t="s">
        <v>310</v>
      </c>
      <c r="D31" s="3">
        <v>46218</v>
      </c>
      <c r="E31" s="2">
        <v>5037</v>
      </c>
      <c r="F31" s="4" t="s">
        <v>157</v>
      </c>
      <c r="G31" s="2" t="s">
        <v>4</v>
      </c>
      <c r="H31" s="3">
        <v>45958</v>
      </c>
      <c r="I31" s="3" t="s">
        <v>30</v>
      </c>
      <c r="J31" s="2" t="s">
        <v>30</v>
      </c>
      <c r="K31" s="4" t="s">
        <v>30</v>
      </c>
      <c r="L31" s="4" t="s">
        <v>30</v>
      </c>
      <c r="M31" s="2" t="s">
        <v>30</v>
      </c>
      <c r="N31" s="4" t="s">
        <v>311</v>
      </c>
      <c r="O31" s="3" t="s">
        <v>30</v>
      </c>
    </row>
    <row r="32" ht="45" spans="1:15">
      <c r="A32" s="5" t="s">
        <v>313</v>
      </c>
      <c r="B32" s="5" t="s">
        <v>309</v>
      </c>
      <c r="C32" s="5" t="s">
        <v>314</v>
      </c>
      <c r="D32" s="6">
        <v>46249</v>
      </c>
      <c r="E32" s="5">
        <v>5038</v>
      </c>
      <c r="F32" s="7" t="s">
        <v>158</v>
      </c>
      <c r="G32" s="5" t="s">
        <v>4</v>
      </c>
      <c r="H32" s="6">
        <v>46050</v>
      </c>
      <c r="I32" s="6" t="s">
        <v>30</v>
      </c>
      <c r="J32" s="5" t="s">
        <v>30</v>
      </c>
      <c r="K32" s="7" t="s">
        <v>30</v>
      </c>
      <c r="L32" s="7" t="s">
        <v>30</v>
      </c>
      <c r="M32" s="5" t="s">
        <v>30</v>
      </c>
      <c r="N32" s="7" t="s">
        <v>311</v>
      </c>
      <c r="O32" s="6" t="s">
        <v>30</v>
      </c>
    </row>
    <row r="33" ht="45" spans="1:15">
      <c r="A33" s="2" t="s">
        <v>308</v>
      </c>
      <c r="B33" s="2" t="s">
        <v>309</v>
      </c>
      <c r="C33" s="2" t="s">
        <v>312</v>
      </c>
      <c r="D33" s="3">
        <v>46280</v>
      </c>
      <c r="E33" s="2">
        <v>5039</v>
      </c>
      <c r="F33" s="4" t="s">
        <v>159</v>
      </c>
      <c r="G33" s="2" t="s">
        <v>4</v>
      </c>
      <c r="H33" s="3">
        <v>45809</v>
      </c>
      <c r="I33" s="3" t="s">
        <v>30</v>
      </c>
      <c r="J33" s="2" t="s">
        <v>30</v>
      </c>
      <c r="K33" s="4" t="s">
        <v>30</v>
      </c>
      <c r="L33" s="4" t="s">
        <v>30</v>
      </c>
      <c r="M33" s="2" t="s">
        <v>30</v>
      </c>
      <c r="N33" s="4" t="s">
        <v>311</v>
      </c>
      <c r="O33" s="3" t="s">
        <v>30</v>
      </c>
    </row>
    <row r="34" ht="45" spans="1:15">
      <c r="A34" s="2" t="s">
        <v>308</v>
      </c>
      <c r="B34" s="2" t="s">
        <v>309</v>
      </c>
      <c r="C34" s="2" t="s">
        <v>310</v>
      </c>
      <c r="D34" s="3">
        <v>46218</v>
      </c>
      <c r="E34" s="2">
        <v>5040</v>
      </c>
      <c r="F34" s="4" t="s">
        <v>160</v>
      </c>
      <c r="G34" s="2" t="s">
        <v>4</v>
      </c>
      <c r="H34" s="3">
        <v>45809</v>
      </c>
      <c r="I34" s="3" t="s">
        <v>30</v>
      </c>
      <c r="J34" s="2" t="s">
        <v>30</v>
      </c>
      <c r="K34" s="4" t="s">
        <v>30</v>
      </c>
      <c r="L34" s="4" t="s">
        <v>30</v>
      </c>
      <c r="M34" s="2" t="s">
        <v>30</v>
      </c>
      <c r="N34" s="4" t="s">
        <v>311</v>
      </c>
      <c r="O34" s="3" t="s">
        <v>30</v>
      </c>
    </row>
    <row r="35" ht="45" spans="1:15">
      <c r="A35" s="5" t="s">
        <v>313</v>
      </c>
      <c r="B35" s="5" t="s">
        <v>309</v>
      </c>
      <c r="C35" s="5" t="s">
        <v>314</v>
      </c>
      <c r="D35" s="6">
        <v>46249</v>
      </c>
      <c r="E35" s="5">
        <v>5041</v>
      </c>
      <c r="F35" s="7" t="s">
        <v>161</v>
      </c>
      <c r="G35" s="5" t="s">
        <v>4</v>
      </c>
      <c r="H35" s="6">
        <v>45809</v>
      </c>
      <c r="I35" s="6" t="s">
        <v>30</v>
      </c>
      <c r="J35" s="5" t="s">
        <v>30</v>
      </c>
      <c r="K35" s="7" t="s">
        <v>30</v>
      </c>
      <c r="L35" s="7" t="s">
        <v>30</v>
      </c>
      <c r="M35" s="5" t="s">
        <v>30</v>
      </c>
      <c r="N35" s="7" t="s">
        <v>311</v>
      </c>
      <c r="O35" s="6" t="s">
        <v>30</v>
      </c>
    </row>
    <row r="36" ht="45" spans="1:15">
      <c r="A36" s="2" t="s">
        <v>308</v>
      </c>
      <c r="B36" s="2" t="s">
        <v>309</v>
      </c>
      <c r="C36" s="2" t="s">
        <v>310</v>
      </c>
      <c r="D36" s="3">
        <v>46218</v>
      </c>
      <c r="E36" s="2">
        <v>5043</v>
      </c>
      <c r="F36" s="4" t="s">
        <v>163</v>
      </c>
      <c r="G36" s="2" t="s">
        <v>4</v>
      </c>
      <c r="H36" s="3">
        <v>45778</v>
      </c>
      <c r="I36" s="3" t="s">
        <v>30</v>
      </c>
      <c r="J36" s="2" t="s">
        <v>30</v>
      </c>
      <c r="K36" s="4" t="s">
        <v>30</v>
      </c>
      <c r="L36" s="4" t="s">
        <v>30</v>
      </c>
      <c r="M36" s="2" t="s">
        <v>30</v>
      </c>
      <c r="N36" s="4" t="s">
        <v>311</v>
      </c>
      <c r="O36" s="3" t="s">
        <v>30</v>
      </c>
    </row>
    <row r="37" ht="45" spans="1:15">
      <c r="A37" s="5" t="s">
        <v>313</v>
      </c>
      <c r="B37" s="5" t="s">
        <v>309</v>
      </c>
      <c r="C37" s="5" t="s">
        <v>314</v>
      </c>
      <c r="D37" s="6">
        <v>46249</v>
      </c>
      <c r="E37" s="5">
        <v>5044</v>
      </c>
      <c r="F37" s="7" t="s">
        <v>164</v>
      </c>
      <c r="G37" s="5" t="s">
        <v>4</v>
      </c>
      <c r="H37" s="6">
        <v>46140</v>
      </c>
      <c r="I37" s="6" t="s">
        <v>30</v>
      </c>
      <c r="J37" s="5" t="s">
        <v>30</v>
      </c>
      <c r="K37" s="7" t="s">
        <v>30</v>
      </c>
      <c r="L37" s="7" t="s">
        <v>30</v>
      </c>
      <c r="M37" s="5" t="s">
        <v>30</v>
      </c>
      <c r="N37" s="7" t="s">
        <v>311</v>
      </c>
      <c r="O37" s="6" t="s">
        <v>30</v>
      </c>
    </row>
    <row r="38" ht="45" spans="1:15">
      <c r="A38" s="2" t="s">
        <v>308</v>
      </c>
      <c r="B38" s="2" t="s">
        <v>309</v>
      </c>
      <c r="C38" s="2" t="s">
        <v>312</v>
      </c>
      <c r="D38" s="3">
        <v>46280</v>
      </c>
      <c r="E38" s="2">
        <v>5045</v>
      </c>
      <c r="F38" s="4" t="s">
        <v>165</v>
      </c>
      <c r="G38" s="2" t="s">
        <v>4</v>
      </c>
      <c r="H38" s="3">
        <v>45802</v>
      </c>
      <c r="I38" s="3" t="s">
        <v>30</v>
      </c>
      <c r="J38" s="2" t="s">
        <v>30</v>
      </c>
      <c r="K38" s="4" t="s">
        <v>30</v>
      </c>
      <c r="L38" s="4" t="s">
        <v>30</v>
      </c>
      <c r="M38" s="2" t="s">
        <v>30</v>
      </c>
      <c r="N38" s="4" t="s">
        <v>311</v>
      </c>
      <c r="O38" s="3" t="s">
        <v>30</v>
      </c>
    </row>
    <row r="39" ht="45" spans="1:15">
      <c r="A39" s="5" t="s">
        <v>313</v>
      </c>
      <c r="B39" s="5" t="s">
        <v>309</v>
      </c>
      <c r="C39" s="5" t="s">
        <v>314</v>
      </c>
      <c r="D39" s="6">
        <v>46249</v>
      </c>
      <c r="E39" s="5">
        <v>5047</v>
      </c>
      <c r="F39" s="7" t="s">
        <v>167</v>
      </c>
      <c r="G39" s="5" t="s">
        <v>4</v>
      </c>
      <c r="H39" s="6">
        <v>45809</v>
      </c>
      <c r="I39" s="6" t="s">
        <v>30</v>
      </c>
      <c r="J39" s="5" t="s">
        <v>30</v>
      </c>
      <c r="K39" s="7" t="s">
        <v>30</v>
      </c>
      <c r="L39" s="7" t="s">
        <v>30</v>
      </c>
      <c r="M39" s="5" t="s">
        <v>30</v>
      </c>
      <c r="N39" s="7" t="s">
        <v>311</v>
      </c>
      <c r="O39" s="6" t="s">
        <v>30</v>
      </c>
    </row>
    <row r="40" ht="45" spans="1:15">
      <c r="A40" s="2" t="s">
        <v>308</v>
      </c>
      <c r="B40" s="2" t="s">
        <v>309</v>
      </c>
      <c r="C40" s="2" t="s">
        <v>312</v>
      </c>
      <c r="D40" s="3">
        <v>46280</v>
      </c>
      <c r="E40" s="2">
        <v>5048</v>
      </c>
      <c r="F40" s="4" t="s">
        <v>168</v>
      </c>
      <c r="G40" s="2" t="s">
        <v>4</v>
      </c>
      <c r="H40" s="3">
        <v>45855</v>
      </c>
      <c r="I40" s="3" t="s">
        <v>30</v>
      </c>
      <c r="J40" s="2" t="s">
        <v>30</v>
      </c>
      <c r="K40" s="4" t="s">
        <v>30</v>
      </c>
      <c r="L40" s="4" t="s">
        <v>30</v>
      </c>
      <c r="M40" s="2" t="s">
        <v>30</v>
      </c>
      <c r="N40" s="4" t="s">
        <v>311</v>
      </c>
      <c r="O40" s="3" t="s">
        <v>30</v>
      </c>
    </row>
    <row r="41" ht="45" spans="1:15">
      <c r="A41" s="2" t="s">
        <v>308</v>
      </c>
      <c r="B41" s="2" t="s">
        <v>309</v>
      </c>
      <c r="C41" s="2" t="s">
        <v>310</v>
      </c>
      <c r="D41" s="3">
        <v>46218</v>
      </c>
      <c r="E41" s="2">
        <v>5049</v>
      </c>
      <c r="F41" s="4" t="s">
        <v>169</v>
      </c>
      <c r="G41" s="2" t="s">
        <v>4</v>
      </c>
      <c r="H41" s="3">
        <v>45855</v>
      </c>
      <c r="I41" s="3" t="s">
        <v>30</v>
      </c>
      <c r="J41" s="2" t="s">
        <v>30</v>
      </c>
      <c r="K41" s="4" t="s">
        <v>30</v>
      </c>
      <c r="L41" s="4" t="s">
        <v>30</v>
      </c>
      <c r="M41" s="2" t="s">
        <v>30</v>
      </c>
      <c r="N41" s="4" t="s">
        <v>311</v>
      </c>
      <c r="O41" s="3" t="s">
        <v>30</v>
      </c>
    </row>
    <row r="42" ht="45" spans="1:15">
      <c r="A42" s="2" t="s">
        <v>308</v>
      </c>
      <c r="B42" s="2" t="s">
        <v>309</v>
      </c>
      <c r="C42" s="2" t="s">
        <v>310</v>
      </c>
      <c r="D42" s="3">
        <v>46218</v>
      </c>
      <c r="E42" s="2">
        <v>5052</v>
      </c>
      <c r="F42" s="4" t="s">
        <v>173</v>
      </c>
      <c r="G42" s="2" t="s">
        <v>4</v>
      </c>
      <c r="H42" s="3">
        <v>46080</v>
      </c>
      <c r="I42" s="3" t="s">
        <v>30</v>
      </c>
      <c r="J42" s="2" t="s">
        <v>30</v>
      </c>
      <c r="K42" s="4" t="s">
        <v>30</v>
      </c>
      <c r="L42" s="4" t="s">
        <v>30</v>
      </c>
      <c r="M42" s="2" t="s">
        <v>30</v>
      </c>
      <c r="N42" s="4" t="s">
        <v>311</v>
      </c>
      <c r="O42" s="3" t="s">
        <v>30</v>
      </c>
    </row>
    <row r="43" ht="45" spans="1:15">
      <c r="A43" s="5" t="s">
        <v>313</v>
      </c>
      <c r="B43" s="5" t="s">
        <v>309</v>
      </c>
      <c r="C43" s="5" t="s">
        <v>314</v>
      </c>
      <c r="D43" s="6">
        <v>46249</v>
      </c>
      <c r="E43" s="5">
        <v>5053</v>
      </c>
      <c r="F43" s="7" t="s">
        <v>174</v>
      </c>
      <c r="G43" s="5" t="s">
        <v>4</v>
      </c>
      <c r="H43" s="6">
        <v>45861</v>
      </c>
      <c r="I43" s="6" t="s">
        <v>30</v>
      </c>
      <c r="J43" s="5" t="s">
        <v>30</v>
      </c>
      <c r="K43" s="7" t="s">
        <v>30</v>
      </c>
      <c r="L43" s="7" t="s">
        <v>30</v>
      </c>
      <c r="M43" s="5" t="s">
        <v>30</v>
      </c>
      <c r="N43" s="7" t="s">
        <v>311</v>
      </c>
      <c r="O43" s="6" t="s">
        <v>30</v>
      </c>
    </row>
    <row r="44" ht="45" spans="1:15">
      <c r="A44" s="2" t="s">
        <v>308</v>
      </c>
      <c r="B44" s="2" t="s">
        <v>309</v>
      </c>
      <c r="C44" s="2" t="s">
        <v>312</v>
      </c>
      <c r="D44" s="3">
        <v>46280</v>
      </c>
      <c r="E44" s="2">
        <v>5054</v>
      </c>
      <c r="F44" s="4" t="s">
        <v>175</v>
      </c>
      <c r="G44" s="2" t="s">
        <v>4</v>
      </c>
      <c r="H44" s="3">
        <v>46080</v>
      </c>
      <c r="I44" s="3" t="s">
        <v>30</v>
      </c>
      <c r="J44" s="2" t="s">
        <v>30</v>
      </c>
      <c r="K44" s="4" t="s">
        <v>30</v>
      </c>
      <c r="L44" s="4" t="s">
        <v>30</v>
      </c>
      <c r="M44" s="2" t="s">
        <v>30</v>
      </c>
      <c r="N44" s="4" t="s">
        <v>311</v>
      </c>
      <c r="O44" s="3" t="s">
        <v>30</v>
      </c>
    </row>
    <row r="45" ht="45" spans="1:15">
      <c r="A45" s="2" t="s">
        <v>308</v>
      </c>
      <c r="B45" s="2" t="s">
        <v>309</v>
      </c>
      <c r="C45" s="2" t="s">
        <v>310</v>
      </c>
      <c r="D45" s="3">
        <v>46218</v>
      </c>
      <c r="E45" s="2">
        <v>5055</v>
      </c>
      <c r="F45" s="4" t="s">
        <v>176</v>
      </c>
      <c r="G45" s="2" t="s">
        <v>4</v>
      </c>
      <c r="H45" s="3">
        <v>45861</v>
      </c>
      <c r="I45" s="3" t="s">
        <v>30</v>
      </c>
      <c r="J45" s="2" t="s">
        <v>30</v>
      </c>
      <c r="K45" s="4" t="s">
        <v>30</v>
      </c>
      <c r="L45" s="4" t="s">
        <v>30</v>
      </c>
      <c r="M45" s="2" t="s">
        <v>30</v>
      </c>
      <c r="N45" s="4" t="s">
        <v>311</v>
      </c>
      <c r="O45" s="3" t="s">
        <v>30</v>
      </c>
    </row>
    <row r="46" ht="45" spans="1:15">
      <c r="A46" s="5" t="s">
        <v>313</v>
      </c>
      <c r="B46" s="5" t="s">
        <v>309</v>
      </c>
      <c r="C46" s="5" t="s">
        <v>314</v>
      </c>
      <c r="D46" s="6">
        <v>46249</v>
      </c>
      <c r="E46" s="5">
        <v>5056</v>
      </c>
      <c r="F46" s="7" t="s">
        <v>177</v>
      </c>
      <c r="G46" s="5" t="s">
        <v>4</v>
      </c>
      <c r="H46" s="6">
        <v>45809</v>
      </c>
      <c r="I46" s="6" t="s">
        <v>30</v>
      </c>
      <c r="J46" s="5" t="s">
        <v>30</v>
      </c>
      <c r="K46" s="7" t="s">
        <v>30</v>
      </c>
      <c r="L46" s="7" t="s">
        <v>30</v>
      </c>
      <c r="M46" s="5" t="s">
        <v>30</v>
      </c>
      <c r="N46" s="7" t="s">
        <v>311</v>
      </c>
      <c r="O46" s="6" t="s">
        <v>30</v>
      </c>
    </row>
    <row r="47" ht="45" spans="1:15">
      <c r="A47" s="2" t="s">
        <v>308</v>
      </c>
      <c r="B47" s="2" t="s">
        <v>309</v>
      </c>
      <c r="C47" s="2" t="s">
        <v>310</v>
      </c>
      <c r="D47" s="3">
        <v>46218</v>
      </c>
      <c r="E47" s="2">
        <v>5058</v>
      </c>
      <c r="F47" s="4" t="s">
        <v>179</v>
      </c>
      <c r="G47" s="2" t="s">
        <v>4</v>
      </c>
      <c r="H47" s="3">
        <v>45899</v>
      </c>
      <c r="I47" s="3" t="s">
        <v>30</v>
      </c>
      <c r="J47" s="2" t="s">
        <v>30</v>
      </c>
      <c r="K47" s="4" t="s">
        <v>30</v>
      </c>
      <c r="L47" s="4" t="s">
        <v>30</v>
      </c>
      <c r="M47" s="2" t="s">
        <v>30</v>
      </c>
      <c r="N47" s="4" t="s">
        <v>311</v>
      </c>
      <c r="O47" s="3" t="s">
        <v>30</v>
      </c>
    </row>
    <row r="48" ht="45" spans="1:15">
      <c r="A48" s="5" t="s">
        <v>313</v>
      </c>
      <c r="B48" s="5" t="s">
        <v>309</v>
      </c>
      <c r="C48" s="5" t="s">
        <v>314</v>
      </c>
      <c r="D48" s="6">
        <v>46249</v>
      </c>
      <c r="E48" s="5">
        <v>5059</v>
      </c>
      <c r="F48" s="7" t="s">
        <v>180</v>
      </c>
      <c r="G48" s="5" t="s">
        <v>4</v>
      </c>
      <c r="H48" s="6">
        <v>45868</v>
      </c>
      <c r="I48" s="6" t="s">
        <v>30</v>
      </c>
      <c r="J48" s="5" t="s">
        <v>30</v>
      </c>
      <c r="K48" s="7" t="s">
        <v>30</v>
      </c>
      <c r="L48" s="7" t="s">
        <v>30</v>
      </c>
      <c r="M48" s="5" t="s">
        <v>30</v>
      </c>
      <c r="N48" s="7" t="s">
        <v>311</v>
      </c>
      <c r="O48" s="6" t="s">
        <v>30</v>
      </c>
    </row>
    <row r="49" ht="45" spans="1:15">
      <c r="A49" s="2" t="s">
        <v>308</v>
      </c>
      <c r="B49" s="2" t="s">
        <v>309</v>
      </c>
      <c r="C49" s="2" t="s">
        <v>312</v>
      </c>
      <c r="D49" s="3">
        <v>46280</v>
      </c>
      <c r="E49" s="2">
        <v>5060</v>
      </c>
      <c r="F49" s="4" t="s">
        <v>181</v>
      </c>
      <c r="G49" s="2" t="s">
        <v>4</v>
      </c>
      <c r="H49" s="3">
        <v>45868</v>
      </c>
      <c r="I49" s="3" t="s">
        <v>30</v>
      </c>
      <c r="J49" s="2" t="s">
        <v>30</v>
      </c>
      <c r="K49" s="4" t="s">
        <v>30</v>
      </c>
      <c r="L49" s="4" t="s">
        <v>30</v>
      </c>
      <c r="M49" s="2" t="s">
        <v>30</v>
      </c>
      <c r="N49" s="4" t="s">
        <v>311</v>
      </c>
      <c r="O49" s="3" t="s">
        <v>30</v>
      </c>
    </row>
    <row r="50" ht="45" spans="1:15">
      <c r="A50" s="2" t="s">
        <v>308</v>
      </c>
      <c r="B50" s="2" t="s">
        <v>309</v>
      </c>
      <c r="C50" s="2" t="s">
        <v>310</v>
      </c>
      <c r="D50" s="3">
        <v>46218</v>
      </c>
      <c r="E50" s="2">
        <v>5061</v>
      </c>
      <c r="F50" s="4" t="s">
        <v>182</v>
      </c>
      <c r="G50" s="2" t="s">
        <v>4</v>
      </c>
      <c r="H50" s="3">
        <v>45958</v>
      </c>
      <c r="I50" s="3" t="s">
        <v>30</v>
      </c>
      <c r="J50" s="2" t="s">
        <v>30</v>
      </c>
      <c r="K50" s="4" t="s">
        <v>30</v>
      </c>
      <c r="L50" s="4" t="s">
        <v>30</v>
      </c>
      <c r="M50" s="2" t="s">
        <v>30</v>
      </c>
      <c r="N50" s="4" t="s">
        <v>311</v>
      </c>
      <c r="O50" s="3" t="s">
        <v>30</v>
      </c>
    </row>
    <row r="51" ht="45" spans="1:15">
      <c r="A51" s="2" t="s">
        <v>308</v>
      </c>
      <c r="B51" s="2" t="s">
        <v>309</v>
      </c>
      <c r="C51" s="2" t="s">
        <v>312</v>
      </c>
      <c r="D51" s="3">
        <v>46280</v>
      </c>
      <c r="E51" s="2">
        <v>5063</v>
      </c>
      <c r="F51" s="4" t="s">
        <v>184</v>
      </c>
      <c r="G51" s="2" t="s">
        <v>4</v>
      </c>
      <c r="H51" s="3">
        <v>46111</v>
      </c>
      <c r="I51" s="3" t="s">
        <v>30</v>
      </c>
      <c r="J51" s="2" t="s">
        <v>30</v>
      </c>
      <c r="K51" s="4" t="s">
        <v>30</v>
      </c>
      <c r="L51" s="4" t="s">
        <v>30</v>
      </c>
      <c r="M51" s="2" t="s">
        <v>30</v>
      </c>
      <c r="N51" s="4" t="s">
        <v>311</v>
      </c>
      <c r="O51" s="3" t="s">
        <v>30</v>
      </c>
    </row>
    <row r="52" ht="45" spans="1:15">
      <c r="A52" s="2" t="s">
        <v>308</v>
      </c>
      <c r="B52" s="2" t="s">
        <v>309</v>
      </c>
      <c r="C52" s="2" t="s">
        <v>310</v>
      </c>
      <c r="D52" s="3">
        <v>46218</v>
      </c>
      <c r="E52" s="2">
        <v>5064</v>
      </c>
      <c r="F52" s="4" t="s">
        <v>185</v>
      </c>
      <c r="G52" s="2" t="s">
        <v>4</v>
      </c>
      <c r="H52" s="3">
        <v>46140</v>
      </c>
      <c r="I52" s="3" t="s">
        <v>30</v>
      </c>
      <c r="J52" s="2" t="s">
        <v>30</v>
      </c>
      <c r="K52" s="4" t="s">
        <v>30</v>
      </c>
      <c r="L52" s="4" t="s">
        <v>30</v>
      </c>
      <c r="M52" s="2" t="s">
        <v>30</v>
      </c>
      <c r="N52" s="4" t="s">
        <v>311</v>
      </c>
      <c r="O52" s="3" t="s">
        <v>30</v>
      </c>
    </row>
    <row r="53" ht="45" spans="1:15">
      <c r="A53" s="5" t="s">
        <v>313</v>
      </c>
      <c r="B53" s="5" t="s">
        <v>309</v>
      </c>
      <c r="C53" s="5" t="s">
        <v>314</v>
      </c>
      <c r="D53" s="6">
        <v>46249</v>
      </c>
      <c r="E53" s="5">
        <v>5065</v>
      </c>
      <c r="F53" s="7" t="s">
        <v>186</v>
      </c>
      <c r="G53" s="5" t="s">
        <v>4</v>
      </c>
      <c r="H53" s="6">
        <v>46140</v>
      </c>
      <c r="I53" s="6" t="s">
        <v>30</v>
      </c>
      <c r="J53" s="5" t="s">
        <v>30</v>
      </c>
      <c r="K53" s="7" t="s">
        <v>30</v>
      </c>
      <c r="L53" s="7" t="s">
        <v>30</v>
      </c>
      <c r="M53" s="5" t="s">
        <v>30</v>
      </c>
      <c r="N53" s="7" t="s">
        <v>311</v>
      </c>
      <c r="O53" s="6" t="s">
        <v>30</v>
      </c>
    </row>
    <row r="54" ht="45" spans="1:15">
      <c r="A54" s="2" t="s">
        <v>308</v>
      </c>
      <c r="B54" s="2" t="s">
        <v>309</v>
      </c>
      <c r="C54" s="2" t="s">
        <v>310</v>
      </c>
      <c r="D54" s="3">
        <v>46218</v>
      </c>
      <c r="E54" s="2">
        <v>5067</v>
      </c>
      <c r="F54" s="4" t="s">
        <v>188</v>
      </c>
      <c r="G54" s="2" t="s">
        <v>4</v>
      </c>
      <c r="H54" s="3">
        <v>45861</v>
      </c>
      <c r="I54" s="3" t="s">
        <v>30</v>
      </c>
      <c r="J54" s="2" t="s">
        <v>30</v>
      </c>
      <c r="K54" s="4" t="s">
        <v>30</v>
      </c>
      <c r="L54" s="4" t="s">
        <v>30</v>
      </c>
      <c r="M54" s="2" t="s">
        <v>30</v>
      </c>
      <c r="N54" s="4" t="s">
        <v>311</v>
      </c>
      <c r="O54" s="3" t="s">
        <v>30</v>
      </c>
    </row>
    <row r="55" ht="45" spans="1:15">
      <c r="A55" s="5" t="s">
        <v>313</v>
      </c>
      <c r="B55" s="5" t="s">
        <v>309</v>
      </c>
      <c r="C55" s="5" t="s">
        <v>314</v>
      </c>
      <c r="D55" s="6">
        <v>46249</v>
      </c>
      <c r="E55" s="5">
        <v>5068</v>
      </c>
      <c r="F55" s="7" t="s">
        <v>189</v>
      </c>
      <c r="G55" s="5" t="s">
        <v>4</v>
      </c>
      <c r="H55" s="6">
        <v>45861</v>
      </c>
      <c r="I55" s="6" t="s">
        <v>30</v>
      </c>
      <c r="J55" s="5" t="s">
        <v>30</v>
      </c>
      <c r="K55" s="7" t="s">
        <v>30</v>
      </c>
      <c r="L55" s="7" t="s">
        <v>30</v>
      </c>
      <c r="M55" s="5" t="s">
        <v>30</v>
      </c>
      <c r="N55" s="7" t="s">
        <v>311</v>
      </c>
      <c r="O55" s="6" t="s">
        <v>30</v>
      </c>
    </row>
    <row r="56" ht="45" spans="1:15">
      <c r="A56" s="2" t="s">
        <v>308</v>
      </c>
      <c r="B56" s="2" t="s">
        <v>309</v>
      </c>
      <c r="C56" s="2" t="s">
        <v>312</v>
      </c>
      <c r="D56" s="3">
        <v>46280</v>
      </c>
      <c r="E56" s="2">
        <v>5069</v>
      </c>
      <c r="F56" s="4" t="s">
        <v>191</v>
      </c>
      <c r="G56" s="2" t="s">
        <v>4</v>
      </c>
      <c r="H56" s="3">
        <v>45899</v>
      </c>
      <c r="I56" s="3" t="s">
        <v>30</v>
      </c>
      <c r="J56" s="2" t="s">
        <v>30</v>
      </c>
      <c r="K56" s="4" t="s">
        <v>30</v>
      </c>
      <c r="L56" s="4" t="s">
        <v>30</v>
      </c>
      <c r="M56" s="2" t="s">
        <v>30</v>
      </c>
      <c r="N56" s="4" t="s">
        <v>311</v>
      </c>
      <c r="O56" s="3" t="s">
        <v>30</v>
      </c>
    </row>
    <row r="57" ht="45" spans="1:15">
      <c r="A57" s="2" t="s">
        <v>308</v>
      </c>
      <c r="B57" s="2" t="s">
        <v>309</v>
      </c>
      <c r="C57" s="2" t="s">
        <v>310</v>
      </c>
      <c r="D57" s="3">
        <v>46218</v>
      </c>
      <c r="E57" s="2">
        <v>5070</v>
      </c>
      <c r="F57" s="4" t="s">
        <v>192</v>
      </c>
      <c r="G57" s="2" t="s">
        <v>4</v>
      </c>
      <c r="H57" s="3">
        <v>45899</v>
      </c>
      <c r="I57" s="3" t="s">
        <v>30</v>
      </c>
      <c r="J57" s="2" t="s">
        <v>30</v>
      </c>
      <c r="K57" s="4" t="s">
        <v>30</v>
      </c>
      <c r="L57" s="4" t="s">
        <v>30</v>
      </c>
      <c r="M57" s="2" t="s">
        <v>30</v>
      </c>
      <c r="N57" s="4" t="s">
        <v>311</v>
      </c>
      <c r="O57" s="3" t="s">
        <v>30</v>
      </c>
    </row>
    <row r="58" ht="45" spans="1:15">
      <c r="A58" s="5" t="s">
        <v>313</v>
      </c>
      <c r="B58" s="5" t="s">
        <v>309</v>
      </c>
      <c r="C58" s="5" t="s">
        <v>314</v>
      </c>
      <c r="D58" s="6">
        <v>46249</v>
      </c>
      <c r="E58" s="5">
        <v>5071</v>
      </c>
      <c r="F58" s="7" t="s">
        <v>193</v>
      </c>
      <c r="G58" s="5" t="s">
        <v>4</v>
      </c>
      <c r="H58" s="6">
        <v>45924</v>
      </c>
      <c r="I58" s="6" t="s">
        <v>30</v>
      </c>
      <c r="J58" s="5" t="s">
        <v>30</v>
      </c>
      <c r="K58" s="7" t="s">
        <v>30</v>
      </c>
      <c r="L58" s="7" t="s">
        <v>30</v>
      </c>
      <c r="M58" s="5" t="s">
        <v>30</v>
      </c>
      <c r="N58" s="7" t="s">
        <v>311</v>
      </c>
      <c r="O58" s="6" t="s">
        <v>30</v>
      </c>
    </row>
    <row r="59" ht="45" spans="1:15">
      <c r="A59" s="2" t="s">
        <v>308</v>
      </c>
      <c r="B59" s="2" t="s">
        <v>309</v>
      </c>
      <c r="C59" s="2" t="s">
        <v>312</v>
      </c>
      <c r="D59" s="3">
        <v>46280</v>
      </c>
      <c r="E59" s="2">
        <v>5072</v>
      </c>
      <c r="F59" s="4" t="s">
        <v>194</v>
      </c>
      <c r="G59" s="2" t="s">
        <v>4</v>
      </c>
      <c r="H59" s="3">
        <v>45899</v>
      </c>
      <c r="I59" s="3" t="s">
        <v>30</v>
      </c>
      <c r="J59" s="2" t="s">
        <v>30</v>
      </c>
      <c r="K59" s="4" t="s">
        <v>30</v>
      </c>
      <c r="L59" s="4" t="s">
        <v>30</v>
      </c>
      <c r="M59" s="2" t="s">
        <v>30</v>
      </c>
      <c r="N59" s="4" t="s">
        <v>311</v>
      </c>
      <c r="O59" s="3" t="s">
        <v>30</v>
      </c>
    </row>
    <row r="60" ht="45" spans="1:15">
      <c r="A60" s="2" t="s">
        <v>308</v>
      </c>
      <c r="B60" s="2" t="s">
        <v>309</v>
      </c>
      <c r="C60" s="2" t="s">
        <v>310</v>
      </c>
      <c r="D60" s="3">
        <v>46218</v>
      </c>
      <c r="E60" s="2">
        <v>5073</v>
      </c>
      <c r="F60" s="4" t="s">
        <v>195</v>
      </c>
      <c r="G60" s="2" t="s">
        <v>4</v>
      </c>
      <c r="H60" s="3">
        <v>45899</v>
      </c>
      <c r="I60" s="3" t="s">
        <v>30</v>
      </c>
      <c r="J60" s="2" t="s">
        <v>30</v>
      </c>
      <c r="K60" s="4" t="s">
        <v>30</v>
      </c>
      <c r="L60" s="4" t="s">
        <v>30</v>
      </c>
      <c r="M60" s="2" t="s">
        <v>30</v>
      </c>
      <c r="N60" s="4" t="s">
        <v>311</v>
      </c>
      <c r="O60" s="3" t="s">
        <v>30</v>
      </c>
    </row>
    <row r="61" ht="45" spans="1:15">
      <c r="A61" s="5" t="s">
        <v>313</v>
      </c>
      <c r="B61" s="5" t="s">
        <v>309</v>
      </c>
      <c r="C61" s="5" t="s">
        <v>314</v>
      </c>
      <c r="D61" s="6">
        <v>46249</v>
      </c>
      <c r="E61" s="5">
        <v>5074</v>
      </c>
      <c r="F61" s="7" t="s">
        <v>186</v>
      </c>
      <c r="G61" s="5" t="s">
        <v>4</v>
      </c>
      <c r="H61" s="6">
        <v>45890</v>
      </c>
      <c r="I61" s="6" t="s">
        <v>30</v>
      </c>
      <c r="J61" s="5" t="s">
        <v>30</v>
      </c>
      <c r="K61" s="7" t="s">
        <v>30</v>
      </c>
      <c r="L61" s="7" t="s">
        <v>30</v>
      </c>
      <c r="M61" s="5" t="s">
        <v>30</v>
      </c>
      <c r="N61" s="7" t="s">
        <v>311</v>
      </c>
      <c r="O61" s="6" t="s">
        <v>30</v>
      </c>
    </row>
    <row r="62" ht="45" spans="1:15">
      <c r="A62" s="2" t="s">
        <v>308</v>
      </c>
      <c r="B62" s="2" t="s">
        <v>309</v>
      </c>
      <c r="C62" s="2" t="s">
        <v>312</v>
      </c>
      <c r="D62" s="3">
        <v>46280</v>
      </c>
      <c r="E62" s="2">
        <v>5075</v>
      </c>
      <c r="F62" s="4" t="s">
        <v>196</v>
      </c>
      <c r="G62" s="2" t="s">
        <v>4</v>
      </c>
      <c r="H62" s="3">
        <v>45899</v>
      </c>
      <c r="I62" s="3" t="s">
        <v>30</v>
      </c>
      <c r="J62" s="2" t="s">
        <v>30</v>
      </c>
      <c r="K62" s="4" t="s">
        <v>30</v>
      </c>
      <c r="L62" s="4" t="s">
        <v>30</v>
      </c>
      <c r="M62" s="2" t="s">
        <v>30</v>
      </c>
      <c r="N62" s="4" t="s">
        <v>311</v>
      </c>
      <c r="O62" s="3" t="s">
        <v>30</v>
      </c>
    </row>
    <row r="63" ht="45" spans="1:15">
      <c r="A63" s="2" t="s">
        <v>308</v>
      </c>
      <c r="B63" s="2" t="s">
        <v>309</v>
      </c>
      <c r="C63" s="2" t="s">
        <v>312</v>
      </c>
      <c r="D63" s="3">
        <v>46280</v>
      </c>
      <c r="E63" s="2">
        <v>5078</v>
      </c>
      <c r="F63" s="4" t="s">
        <v>199</v>
      </c>
      <c r="G63" s="2" t="s">
        <v>4</v>
      </c>
      <c r="H63" s="3">
        <v>45989</v>
      </c>
      <c r="I63" s="3" t="s">
        <v>30</v>
      </c>
      <c r="J63" s="2" t="s">
        <v>30</v>
      </c>
      <c r="K63" s="4" t="s">
        <v>30</v>
      </c>
      <c r="L63" s="4" t="s">
        <v>30</v>
      </c>
      <c r="M63" s="2" t="s">
        <v>30</v>
      </c>
      <c r="N63" s="4" t="s">
        <v>311</v>
      </c>
      <c r="O63" s="3" t="s">
        <v>30</v>
      </c>
    </row>
    <row r="64" ht="45" spans="1:15">
      <c r="A64" s="5" t="s">
        <v>313</v>
      </c>
      <c r="B64" s="5" t="s">
        <v>309</v>
      </c>
      <c r="C64" s="5" t="s">
        <v>314</v>
      </c>
      <c r="D64" s="6">
        <v>46249</v>
      </c>
      <c r="E64" s="5">
        <v>5080</v>
      </c>
      <c r="F64" s="7" t="s">
        <v>201</v>
      </c>
      <c r="G64" s="5" t="s">
        <v>4</v>
      </c>
      <c r="H64" s="6">
        <v>46168</v>
      </c>
      <c r="I64" s="6" t="s">
        <v>30</v>
      </c>
      <c r="J64" s="5" t="s">
        <v>30</v>
      </c>
      <c r="K64" s="7" t="s">
        <v>30</v>
      </c>
      <c r="L64" s="7" t="s">
        <v>30</v>
      </c>
      <c r="M64" s="5" t="s">
        <v>30</v>
      </c>
      <c r="N64" s="7" t="s">
        <v>311</v>
      </c>
      <c r="O64" s="6" t="s">
        <v>30</v>
      </c>
    </row>
    <row r="65" ht="45" spans="1:15">
      <c r="A65" s="2" t="s">
        <v>308</v>
      </c>
      <c r="B65" s="2" t="s">
        <v>309</v>
      </c>
      <c r="C65" s="2" t="s">
        <v>312</v>
      </c>
      <c r="D65" s="3">
        <v>46280</v>
      </c>
      <c r="E65" s="2">
        <v>5081</v>
      </c>
      <c r="F65" s="4" t="s">
        <v>202</v>
      </c>
      <c r="G65" s="2" t="s">
        <v>4</v>
      </c>
      <c r="H65" s="3">
        <v>46050</v>
      </c>
      <c r="I65" s="3" t="s">
        <v>30</v>
      </c>
      <c r="J65" s="2" t="s">
        <v>30</v>
      </c>
      <c r="K65" s="4" t="s">
        <v>30</v>
      </c>
      <c r="L65" s="4" t="s">
        <v>30</v>
      </c>
      <c r="M65" s="2" t="s">
        <v>30</v>
      </c>
      <c r="N65" s="4" t="s">
        <v>311</v>
      </c>
      <c r="O65" s="3" t="s">
        <v>30</v>
      </c>
    </row>
    <row r="66" ht="45" spans="1:15">
      <c r="A66" s="2" t="s">
        <v>308</v>
      </c>
      <c r="B66" s="2" t="s">
        <v>309</v>
      </c>
      <c r="C66" s="2" t="s">
        <v>310</v>
      </c>
      <c r="D66" s="3">
        <v>46218</v>
      </c>
      <c r="E66" s="2">
        <v>5082</v>
      </c>
      <c r="F66" s="4" t="s">
        <v>203</v>
      </c>
      <c r="G66" s="2" t="s">
        <v>4</v>
      </c>
      <c r="H66" s="3">
        <v>45924</v>
      </c>
      <c r="I66" s="3" t="s">
        <v>30</v>
      </c>
      <c r="J66" s="2" t="s">
        <v>30</v>
      </c>
      <c r="K66" s="4" t="s">
        <v>30</v>
      </c>
      <c r="L66" s="4" t="s">
        <v>30</v>
      </c>
      <c r="M66" s="2" t="s">
        <v>30</v>
      </c>
      <c r="N66" s="4" t="s">
        <v>311</v>
      </c>
      <c r="O66" s="3" t="s">
        <v>30</v>
      </c>
    </row>
    <row r="67" ht="45" spans="1:15">
      <c r="A67" s="5" t="s">
        <v>313</v>
      </c>
      <c r="B67" s="5" t="s">
        <v>309</v>
      </c>
      <c r="C67" s="5" t="s">
        <v>314</v>
      </c>
      <c r="D67" s="6">
        <v>46249</v>
      </c>
      <c r="E67" s="5">
        <v>5083</v>
      </c>
      <c r="F67" s="7" t="s">
        <v>204</v>
      </c>
      <c r="G67" s="5" t="s">
        <v>4</v>
      </c>
      <c r="H67" s="6">
        <v>46111</v>
      </c>
      <c r="I67" s="6" t="s">
        <v>30</v>
      </c>
      <c r="J67" s="5" t="s">
        <v>30</v>
      </c>
      <c r="K67" s="7" t="s">
        <v>30</v>
      </c>
      <c r="L67" s="7" t="s">
        <v>30</v>
      </c>
      <c r="M67" s="5" t="s">
        <v>30</v>
      </c>
      <c r="N67" s="7" t="s">
        <v>311</v>
      </c>
      <c r="O67" s="6" t="s">
        <v>30</v>
      </c>
    </row>
    <row r="68" ht="45" spans="1:15">
      <c r="A68" s="2" t="s">
        <v>308</v>
      </c>
      <c r="B68" s="2" t="s">
        <v>309</v>
      </c>
      <c r="C68" s="2" t="s">
        <v>312</v>
      </c>
      <c r="D68" s="3">
        <v>46280</v>
      </c>
      <c r="E68" s="2">
        <v>5084</v>
      </c>
      <c r="F68" s="4" t="s">
        <v>205</v>
      </c>
      <c r="G68" s="2" t="s">
        <v>4</v>
      </c>
      <c r="H68" s="3">
        <v>45958</v>
      </c>
      <c r="I68" s="3" t="s">
        <v>30</v>
      </c>
      <c r="J68" s="2" t="s">
        <v>30</v>
      </c>
      <c r="K68" s="4" t="s">
        <v>30</v>
      </c>
      <c r="L68" s="4" t="s">
        <v>30</v>
      </c>
      <c r="M68" s="2" t="s">
        <v>30</v>
      </c>
      <c r="N68" s="4" t="s">
        <v>311</v>
      </c>
      <c r="O68" s="3" t="s">
        <v>30</v>
      </c>
    </row>
    <row r="69" ht="45" spans="1:15">
      <c r="A69" s="2" t="s">
        <v>308</v>
      </c>
      <c r="B69" s="2" t="s">
        <v>309</v>
      </c>
      <c r="C69" s="2" t="s">
        <v>310</v>
      </c>
      <c r="D69" s="3">
        <v>46218</v>
      </c>
      <c r="E69" s="2">
        <v>5085</v>
      </c>
      <c r="F69" s="4" t="s">
        <v>206</v>
      </c>
      <c r="G69" s="2" t="s">
        <v>4</v>
      </c>
      <c r="H69" s="3">
        <v>45958</v>
      </c>
      <c r="I69" s="3" t="s">
        <v>30</v>
      </c>
      <c r="J69" s="2" t="s">
        <v>30</v>
      </c>
      <c r="K69" s="4" t="s">
        <v>30</v>
      </c>
      <c r="L69" s="4" t="s">
        <v>30</v>
      </c>
      <c r="M69" s="2" t="s">
        <v>30</v>
      </c>
      <c r="N69" s="4" t="s">
        <v>311</v>
      </c>
      <c r="O69" s="3" t="s">
        <v>30</v>
      </c>
    </row>
    <row r="70" ht="45" spans="1:15">
      <c r="A70" s="5" t="s">
        <v>313</v>
      </c>
      <c r="B70" s="5" t="s">
        <v>309</v>
      </c>
      <c r="C70" s="5" t="s">
        <v>314</v>
      </c>
      <c r="D70" s="6">
        <v>46249</v>
      </c>
      <c r="E70" s="5">
        <v>5086</v>
      </c>
      <c r="F70" s="7" t="s">
        <v>207</v>
      </c>
      <c r="G70" s="5" t="s">
        <v>4</v>
      </c>
      <c r="H70" s="6">
        <v>45924</v>
      </c>
      <c r="I70" s="6" t="s">
        <v>30</v>
      </c>
      <c r="J70" s="5" t="s">
        <v>30</v>
      </c>
      <c r="K70" s="7" t="s">
        <v>30</v>
      </c>
      <c r="L70" s="7" t="s">
        <v>30</v>
      </c>
      <c r="M70" s="5" t="s">
        <v>30</v>
      </c>
      <c r="N70" s="7" t="s">
        <v>311</v>
      </c>
      <c r="O70" s="6" t="s">
        <v>30</v>
      </c>
    </row>
    <row r="71" ht="45" spans="1:15">
      <c r="A71" s="2" t="s">
        <v>308</v>
      </c>
      <c r="B71" s="2" t="s">
        <v>309</v>
      </c>
      <c r="C71" s="2" t="s">
        <v>312</v>
      </c>
      <c r="D71" s="3">
        <v>46280</v>
      </c>
      <c r="E71" s="2">
        <v>5087</v>
      </c>
      <c r="F71" s="4" t="s">
        <v>208</v>
      </c>
      <c r="G71" s="2" t="s">
        <v>4</v>
      </c>
      <c r="H71" s="3">
        <v>45958</v>
      </c>
      <c r="I71" s="3" t="s">
        <v>30</v>
      </c>
      <c r="J71" s="2" t="s">
        <v>30</v>
      </c>
      <c r="K71" s="4" t="s">
        <v>30</v>
      </c>
      <c r="L71" s="4" t="s">
        <v>30</v>
      </c>
      <c r="M71" s="2" t="s">
        <v>30</v>
      </c>
      <c r="N71" s="4" t="s">
        <v>311</v>
      </c>
      <c r="O71" s="3" t="s">
        <v>30</v>
      </c>
    </row>
    <row r="72" ht="45" spans="1:15">
      <c r="A72" s="2" t="s">
        <v>308</v>
      </c>
      <c r="B72" s="2" t="s">
        <v>309</v>
      </c>
      <c r="C72" s="2" t="s">
        <v>310</v>
      </c>
      <c r="D72" s="3">
        <v>46218</v>
      </c>
      <c r="E72" s="2">
        <v>5088</v>
      </c>
      <c r="F72" s="4" t="s">
        <v>209</v>
      </c>
      <c r="G72" s="2" t="s">
        <v>4</v>
      </c>
      <c r="H72" s="3">
        <v>46050</v>
      </c>
      <c r="I72" s="3" t="s">
        <v>30</v>
      </c>
      <c r="J72" s="2" t="s">
        <v>30</v>
      </c>
      <c r="K72" s="4" t="s">
        <v>30</v>
      </c>
      <c r="L72" s="4" t="s">
        <v>30</v>
      </c>
      <c r="M72" s="2" t="s">
        <v>30</v>
      </c>
      <c r="N72" s="4" t="s">
        <v>311</v>
      </c>
      <c r="O72" s="3" t="s">
        <v>30</v>
      </c>
    </row>
    <row r="73" ht="45" spans="1:15">
      <c r="A73" s="5" t="s">
        <v>313</v>
      </c>
      <c r="B73" s="5" t="s">
        <v>309</v>
      </c>
      <c r="C73" s="5" t="s">
        <v>314</v>
      </c>
      <c r="D73" s="6">
        <v>46249</v>
      </c>
      <c r="E73" s="5">
        <v>5089</v>
      </c>
      <c r="F73" s="7" t="s">
        <v>210</v>
      </c>
      <c r="G73" s="5" t="s">
        <v>4</v>
      </c>
      <c r="H73" s="6">
        <v>46111</v>
      </c>
      <c r="I73" s="6" t="s">
        <v>30</v>
      </c>
      <c r="J73" s="5" t="s">
        <v>30</v>
      </c>
      <c r="K73" s="7" t="s">
        <v>30</v>
      </c>
      <c r="L73" s="7" t="s">
        <v>30</v>
      </c>
      <c r="M73" s="5" t="s">
        <v>30</v>
      </c>
      <c r="N73" s="7" t="s">
        <v>311</v>
      </c>
      <c r="O73" s="6" t="s">
        <v>30</v>
      </c>
    </row>
    <row r="74" ht="45" spans="1:15">
      <c r="A74" s="2" t="s">
        <v>308</v>
      </c>
      <c r="B74" s="2" t="s">
        <v>309</v>
      </c>
      <c r="C74" s="2" t="s">
        <v>312</v>
      </c>
      <c r="D74" s="3">
        <v>46280</v>
      </c>
      <c r="E74" s="2">
        <v>5090</v>
      </c>
      <c r="F74" s="4" t="s">
        <v>211</v>
      </c>
      <c r="G74" s="2" t="s">
        <v>4</v>
      </c>
      <c r="H74" s="3">
        <v>45958</v>
      </c>
      <c r="I74" s="3" t="s">
        <v>30</v>
      </c>
      <c r="J74" s="2" t="s">
        <v>30</v>
      </c>
      <c r="K74" s="4" t="s">
        <v>30</v>
      </c>
      <c r="L74" s="4" t="s">
        <v>30</v>
      </c>
      <c r="M74" s="2" t="s">
        <v>30</v>
      </c>
      <c r="N74" s="4" t="s">
        <v>311</v>
      </c>
      <c r="O74" s="3" t="s">
        <v>30</v>
      </c>
    </row>
    <row r="75" ht="45" spans="1:15">
      <c r="A75" s="2" t="s">
        <v>308</v>
      </c>
      <c r="B75" s="2" t="s">
        <v>309</v>
      </c>
      <c r="C75" s="2" t="s">
        <v>312</v>
      </c>
      <c r="D75" s="3">
        <v>46280</v>
      </c>
      <c r="E75" s="2">
        <v>5093</v>
      </c>
      <c r="F75" s="4" t="s">
        <v>214</v>
      </c>
      <c r="G75" s="2" t="s">
        <v>4</v>
      </c>
      <c r="H75" s="3">
        <v>45989</v>
      </c>
      <c r="I75" s="3" t="s">
        <v>30</v>
      </c>
      <c r="J75" s="2" t="s">
        <v>30</v>
      </c>
      <c r="K75" s="4" t="s">
        <v>30</v>
      </c>
      <c r="L75" s="4" t="s">
        <v>30</v>
      </c>
      <c r="M75" s="2" t="s">
        <v>30</v>
      </c>
      <c r="N75" s="4" t="s">
        <v>311</v>
      </c>
      <c r="O75" s="3" t="s">
        <v>30</v>
      </c>
    </row>
    <row r="76" ht="45" spans="1:15">
      <c r="A76" s="5" t="s">
        <v>313</v>
      </c>
      <c r="B76" s="5" t="s">
        <v>309</v>
      </c>
      <c r="C76" s="5" t="s">
        <v>314</v>
      </c>
      <c r="D76" s="6">
        <v>46249</v>
      </c>
      <c r="E76" s="5">
        <v>5095</v>
      </c>
      <c r="F76" s="7" t="s">
        <v>216</v>
      </c>
      <c r="G76" s="5" t="s">
        <v>4</v>
      </c>
      <c r="H76" s="6">
        <v>45958</v>
      </c>
      <c r="I76" s="6" t="s">
        <v>30</v>
      </c>
      <c r="J76" s="5" t="s">
        <v>30</v>
      </c>
      <c r="K76" s="7" t="s">
        <v>30</v>
      </c>
      <c r="L76" s="7" t="s">
        <v>30</v>
      </c>
      <c r="M76" s="5" t="s">
        <v>30</v>
      </c>
      <c r="N76" s="7" t="s">
        <v>311</v>
      </c>
      <c r="O76" s="6" t="s">
        <v>30</v>
      </c>
    </row>
    <row r="77" ht="45" spans="1:15">
      <c r="A77" s="2" t="s">
        <v>308</v>
      </c>
      <c r="B77" s="2" t="s">
        <v>309</v>
      </c>
      <c r="C77" s="2" t="s">
        <v>312</v>
      </c>
      <c r="D77" s="3">
        <v>46280</v>
      </c>
      <c r="E77" s="2">
        <v>5096</v>
      </c>
      <c r="F77" s="4" t="s">
        <v>217</v>
      </c>
      <c r="G77" s="2" t="s">
        <v>4</v>
      </c>
      <c r="H77" s="3">
        <v>45958</v>
      </c>
      <c r="I77" s="3" t="s">
        <v>30</v>
      </c>
      <c r="J77" s="2" t="s">
        <v>30</v>
      </c>
      <c r="K77" s="4" t="s">
        <v>30</v>
      </c>
      <c r="L77" s="4" t="s">
        <v>30</v>
      </c>
      <c r="M77" s="2" t="s">
        <v>30</v>
      </c>
      <c r="N77" s="4" t="s">
        <v>311</v>
      </c>
      <c r="O77" s="3" t="s">
        <v>30</v>
      </c>
    </row>
    <row r="78" ht="45" spans="1:15">
      <c r="A78" s="2" t="s">
        <v>308</v>
      </c>
      <c r="B78" s="2" t="s">
        <v>309</v>
      </c>
      <c r="C78" s="2" t="s">
        <v>310</v>
      </c>
      <c r="D78" s="3">
        <v>46218</v>
      </c>
      <c r="E78" s="2">
        <v>5097</v>
      </c>
      <c r="F78" s="4" t="s">
        <v>218</v>
      </c>
      <c r="G78" s="2" t="s">
        <v>4</v>
      </c>
      <c r="H78" s="3">
        <v>46140</v>
      </c>
      <c r="I78" s="3" t="s">
        <v>30</v>
      </c>
      <c r="J78" s="2" t="s">
        <v>30</v>
      </c>
      <c r="K78" s="4" t="s">
        <v>30</v>
      </c>
      <c r="L78" s="4" t="s">
        <v>30</v>
      </c>
      <c r="M78" s="2" t="s">
        <v>30</v>
      </c>
      <c r="N78" s="4" t="s">
        <v>311</v>
      </c>
      <c r="O78" s="3" t="s">
        <v>30</v>
      </c>
    </row>
    <row r="79" ht="45" spans="1:15">
      <c r="A79" s="5" t="s">
        <v>313</v>
      </c>
      <c r="B79" s="5" t="s">
        <v>309</v>
      </c>
      <c r="C79" s="5" t="s">
        <v>314</v>
      </c>
      <c r="D79" s="6">
        <v>46249</v>
      </c>
      <c r="E79" s="5">
        <v>5098</v>
      </c>
      <c r="F79" s="7" t="s">
        <v>219</v>
      </c>
      <c r="G79" s="5" t="s">
        <v>4</v>
      </c>
      <c r="H79" s="6">
        <v>46050</v>
      </c>
      <c r="I79" s="6" t="s">
        <v>30</v>
      </c>
      <c r="J79" s="5" t="s">
        <v>30</v>
      </c>
      <c r="K79" s="7" t="s">
        <v>30</v>
      </c>
      <c r="L79" s="7" t="s">
        <v>30</v>
      </c>
      <c r="M79" s="5" t="s">
        <v>30</v>
      </c>
      <c r="N79" s="7" t="s">
        <v>311</v>
      </c>
      <c r="O79" s="6" t="s">
        <v>30</v>
      </c>
    </row>
    <row r="80" ht="45" spans="1:15">
      <c r="A80" s="2" t="s">
        <v>308</v>
      </c>
      <c r="B80" s="2" t="s">
        <v>309</v>
      </c>
      <c r="C80" s="2" t="s">
        <v>312</v>
      </c>
      <c r="D80" s="3">
        <v>46280</v>
      </c>
      <c r="E80" s="2">
        <v>5099</v>
      </c>
      <c r="F80" s="4" t="s">
        <v>183</v>
      </c>
      <c r="G80" s="2" t="s">
        <v>4</v>
      </c>
      <c r="H80" s="3">
        <v>45958</v>
      </c>
      <c r="I80" s="3" t="s">
        <v>30</v>
      </c>
      <c r="J80" s="2" t="s">
        <v>30</v>
      </c>
      <c r="K80" s="4" t="s">
        <v>30</v>
      </c>
      <c r="L80" s="4" t="s">
        <v>30</v>
      </c>
      <c r="M80" s="2" t="s">
        <v>30</v>
      </c>
      <c r="N80" s="4" t="s">
        <v>311</v>
      </c>
      <c r="O80" s="3" t="s">
        <v>30</v>
      </c>
    </row>
    <row r="81" ht="45" spans="1:15">
      <c r="A81" s="5" t="s">
        <v>313</v>
      </c>
      <c r="B81" s="5" t="s">
        <v>309</v>
      </c>
      <c r="C81" s="5" t="s">
        <v>314</v>
      </c>
      <c r="D81" s="6">
        <v>46249</v>
      </c>
      <c r="E81" s="5">
        <v>5101</v>
      </c>
      <c r="F81" s="7" t="s">
        <v>221</v>
      </c>
      <c r="G81" s="5" t="s">
        <v>4</v>
      </c>
      <c r="H81" s="6">
        <v>46140</v>
      </c>
      <c r="I81" s="6" t="s">
        <v>30</v>
      </c>
      <c r="J81" s="5" t="s">
        <v>30</v>
      </c>
      <c r="K81" s="7" t="s">
        <v>30</v>
      </c>
      <c r="L81" s="7" t="s">
        <v>30</v>
      </c>
      <c r="M81" s="5" t="s">
        <v>30</v>
      </c>
      <c r="N81" s="7" t="s">
        <v>311</v>
      </c>
      <c r="O81" s="6" t="s">
        <v>30</v>
      </c>
    </row>
    <row r="82" ht="45" spans="1:15">
      <c r="A82" s="2" t="s">
        <v>308</v>
      </c>
      <c r="B82" s="2" t="s">
        <v>309</v>
      </c>
      <c r="C82" s="2" t="s">
        <v>312</v>
      </c>
      <c r="D82" s="3">
        <v>46280</v>
      </c>
      <c r="E82" s="2">
        <v>5102</v>
      </c>
      <c r="F82" s="4" t="s">
        <v>222</v>
      </c>
      <c r="G82" s="2" t="s">
        <v>4</v>
      </c>
      <c r="H82" s="3">
        <v>46140</v>
      </c>
      <c r="I82" s="3" t="s">
        <v>30</v>
      </c>
      <c r="J82" s="2" t="s">
        <v>30</v>
      </c>
      <c r="K82" s="4" t="s">
        <v>30</v>
      </c>
      <c r="L82" s="4" t="s">
        <v>30</v>
      </c>
      <c r="M82" s="2" t="s">
        <v>30</v>
      </c>
      <c r="N82" s="4" t="s">
        <v>311</v>
      </c>
      <c r="O82" s="3" t="s">
        <v>30</v>
      </c>
    </row>
    <row r="83" ht="45" spans="1:15">
      <c r="A83" s="2" t="s">
        <v>308</v>
      </c>
      <c r="B83" s="2" t="s">
        <v>309</v>
      </c>
      <c r="C83" s="2" t="s">
        <v>310</v>
      </c>
      <c r="D83" s="3">
        <v>46218</v>
      </c>
      <c r="E83" s="2">
        <v>5103</v>
      </c>
      <c r="F83" s="4" t="s">
        <v>223</v>
      </c>
      <c r="G83" s="2" t="s">
        <v>4</v>
      </c>
      <c r="H83" s="3">
        <v>46080</v>
      </c>
      <c r="I83" s="3" t="s">
        <v>30</v>
      </c>
      <c r="J83" s="2" t="s">
        <v>30</v>
      </c>
      <c r="K83" s="4" t="s">
        <v>30</v>
      </c>
      <c r="L83" s="4" t="s">
        <v>30</v>
      </c>
      <c r="M83" s="2" t="s">
        <v>30</v>
      </c>
      <c r="N83" s="4" t="s">
        <v>311</v>
      </c>
      <c r="O83" s="3" t="s">
        <v>30</v>
      </c>
    </row>
    <row r="84" ht="45" spans="1:15">
      <c r="A84" s="5" t="s">
        <v>313</v>
      </c>
      <c r="B84" s="5" t="s">
        <v>309</v>
      </c>
      <c r="C84" s="5" t="s">
        <v>314</v>
      </c>
      <c r="D84" s="6">
        <v>46249</v>
      </c>
      <c r="E84" s="5">
        <v>5104</v>
      </c>
      <c r="F84" s="7" t="s">
        <v>224</v>
      </c>
      <c r="G84" s="5" t="s">
        <v>4</v>
      </c>
      <c r="H84" s="6">
        <v>46234</v>
      </c>
      <c r="I84" s="6" t="s">
        <v>30</v>
      </c>
      <c r="J84" s="5" t="s">
        <v>30</v>
      </c>
      <c r="K84" s="7" t="s">
        <v>30</v>
      </c>
      <c r="L84" s="7" t="s">
        <v>30</v>
      </c>
      <c r="M84" s="5" t="s">
        <v>30</v>
      </c>
      <c r="N84" s="7" t="s">
        <v>311</v>
      </c>
      <c r="O84" s="6" t="s">
        <v>30</v>
      </c>
    </row>
    <row r="85" ht="45" spans="1:15">
      <c r="A85" s="2" t="s">
        <v>308</v>
      </c>
      <c r="B85" s="2" t="s">
        <v>309</v>
      </c>
      <c r="C85" s="2" t="s">
        <v>312</v>
      </c>
      <c r="D85" s="3">
        <v>46280</v>
      </c>
      <c r="E85" s="2">
        <v>5105</v>
      </c>
      <c r="F85" s="4" t="s">
        <v>225</v>
      </c>
      <c r="G85" s="2" t="s">
        <v>4</v>
      </c>
      <c r="H85" s="3">
        <v>46050</v>
      </c>
      <c r="I85" s="3" t="s">
        <v>30</v>
      </c>
      <c r="J85" s="2" t="s">
        <v>30</v>
      </c>
      <c r="K85" s="4" t="s">
        <v>30</v>
      </c>
      <c r="L85" s="4" t="s">
        <v>30</v>
      </c>
      <c r="M85" s="2" t="s">
        <v>30</v>
      </c>
      <c r="N85" s="4" t="s">
        <v>311</v>
      </c>
      <c r="O85" s="3" t="s">
        <v>30</v>
      </c>
    </row>
    <row r="86" ht="45" spans="1:15">
      <c r="A86" s="2" t="s">
        <v>308</v>
      </c>
      <c r="B86" s="2" t="s">
        <v>309</v>
      </c>
      <c r="C86" s="2" t="s">
        <v>310</v>
      </c>
      <c r="D86" s="3">
        <v>46218</v>
      </c>
      <c r="E86" s="2">
        <v>5106</v>
      </c>
      <c r="F86" s="4" t="s">
        <v>226</v>
      </c>
      <c r="G86" s="2" t="s">
        <v>4</v>
      </c>
      <c r="H86" s="3">
        <v>46234</v>
      </c>
      <c r="I86" s="3" t="s">
        <v>30</v>
      </c>
      <c r="J86" s="2" t="s">
        <v>30</v>
      </c>
      <c r="K86" s="4" t="s">
        <v>30</v>
      </c>
      <c r="L86" s="4" t="s">
        <v>30</v>
      </c>
      <c r="M86" s="2" t="s">
        <v>30</v>
      </c>
      <c r="N86" s="4" t="s">
        <v>311</v>
      </c>
      <c r="O86" s="3" t="s">
        <v>30</v>
      </c>
    </row>
    <row r="87" ht="45" spans="1:15">
      <c r="A87" s="5" t="s">
        <v>313</v>
      </c>
      <c r="B87" s="5" t="s">
        <v>309</v>
      </c>
      <c r="C87" s="5" t="s">
        <v>314</v>
      </c>
      <c r="D87" s="6">
        <v>46249</v>
      </c>
      <c r="E87" s="5">
        <v>5107</v>
      </c>
      <c r="F87" s="7" t="s">
        <v>227</v>
      </c>
      <c r="G87" s="5" t="s">
        <v>4</v>
      </c>
      <c r="H87" s="6">
        <v>46080</v>
      </c>
      <c r="I87" s="6" t="s">
        <v>30</v>
      </c>
      <c r="J87" s="5" t="s">
        <v>30</v>
      </c>
      <c r="K87" s="7" t="s">
        <v>30</v>
      </c>
      <c r="L87" s="7" t="s">
        <v>30</v>
      </c>
      <c r="M87" s="5" t="s">
        <v>30</v>
      </c>
      <c r="N87" s="7" t="s">
        <v>311</v>
      </c>
      <c r="O87" s="6" t="s">
        <v>30</v>
      </c>
    </row>
    <row r="88" ht="45" spans="1:15">
      <c r="A88" s="2" t="s">
        <v>308</v>
      </c>
      <c r="B88" s="2" t="s">
        <v>309</v>
      </c>
      <c r="C88" s="2" t="s">
        <v>312</v>
      </c>
      <c r="D88" s="3">
        <v>46280</v>
      </c>
      <c r="E88" s="2">
        <v>5108</v>
      </c>
      <c r="F88" s="4" t="s">
        <v>228</v>
      </c>
      <c r="G88" s="2" t="s">
        <v>4</v>
      </c>
      <c r="H88" s="3">
        <v>46050</v>
      </c>
      <c r="I88" s="3" t="s">
        <v>30</v>
      </c>
      <c r="J88" s="2" t="s">
        <v>30</v>
      </c>
      <c r="K88" s="4" t="s">
        <v>30</v>
      </c>
      <c r="L88" s="4" t="s">
        <v>30</v>
      </c>
      <c r="M88" s="2" t="s">
        <v>30</v>
      </c>
      <c r="N88" s="4" t="s">
        <v>311</v>
      </c>
      <c r="O88" s="3" t="s">
        <v>30</v>
      </c>
    </row>
    <row r="89" ht="45" spans="1:15">
      <c r="A89" s="2" t="s">
        <v>308</v>
      </c>
      <c r="B89" s="2" t="s">
        <v>309</v>
      </c>
      <c r="C89" s="2" t="s">
        <v>310</v>
      </c>
      <c r="D89" s="3">
        <v>46218</v>
      </c>
      <c r="E89" s="2">
        <v>5109</v>
      </c>
      <c r="F89" s="4" t="s">
        <v>229</v>
      </c>
      <c r="G89" s="2" t="s">
        <v>4</v>
      </c>
      <c r="H89" s="3">
        <v>46234</v>
      </c>
      <c r="I89" s="3" t="s">
        <v>30</v>
      </c>
      <c r="J89" s="2" t="s">
        <v>30</v>
      </c>
      <c r="K89" s="4" t="s">
        <v>30</v>
      </c>
      <c r="L89" s="4" t="s">
        <v>30</v>
      </c>
      <c r="M89" s="2" t="s">
        <v>30</v>
      </c>
      <c r="N89" s="4" t="s">
        <v>311</v>
      </c>
      <c r="O89" s="3" t="s">
        <v>30</v>
      </c>
    </row>
    <row r="90" ht="45" spans="1:15">
      <c r="A90" s="5" t="s">
        <v>313</v>
      </c>
      <c r="B90" s="5" t="s">
        <v>309</v>
      </c>
      <c r="C90" s="5" t="s">
        <v>314</v>
      </c>
      <c r="D90" s="6">
        <v>46249</v>
      </c>
      <c r="E90" s="5">
        <v>5110</v>
      </c>
      <c r="F90" s="7" t="s">
        <v>230</v>
      </c>
      <c r="G90" s="5" t="s">
        <v>4</v>
      </c>
      <c r="H90" s="6">
        <v>46111</v>
      </c>
      <c r="I90" s="6" t="s">
        <v>30</v>
      </c>
      <c r="J90" s="5" t="s">
        <v>30</v>
      </c>
      <c r="K90" s="7" t="s">
        <v>30</v>
      </c>
      <c r="L90" s="7" t="s">
        <v>30</v>
      </c>
      <c r="M90" s="5" t="s">
        <v>30</v>
      </c>
      <c r="N90" s="7" t="s">
        <v>311</v>
      </c>
      <c r="O90" s="6" t="s">
        <v>30</v>
      </c>
    </row>
    <row r="91" ht="45" spans="1:15">
      <c r="A91" s="2" t="s">
        <v>308</v>
      </c>
      <c r="B91" s="2" t="s">
        <v>309</v>
      </c>
      <c r="C91" s="2" t="s">
        <v>312</v>
      </c>
      <c r="D91" s="3">
        <v>46280</v>
      </c>
      <c r="E91" s="2">
        <v>5111</v>
      </c>
      <c r="F91" s="4" t="s">
        <v>231</v>
      </c>
      <c r="G91" s="2" t="s">
        <v>4</v>
      </c>
      <c r="H91" s="3">
        <v>46168</v>
      </c>
      <c r="I91" s="3" t="s">
        <v>30</v>
      </c>
      <c r="J91" s="2" t="s">
        <v>30</v>
      </c>
      <c r="K91" s="4" t="s">
        <v>30</v>
      </c>
      <c r="L91" s="4" t="s">
        <v>30</v>
      </c>
      <c r="M91" s="2" t="s">
        <v>30</v>
      </c>
      <c r="N91" s="4" t="s">
        <v>311</v>
      </c>
      <c r="O91" s="3" t="s">
        <v>30</v>
      </c>
    </row>
    <row r="92" ht="45" spans="1:15">
      <c r="A92" s="2" t="s">
        <v>308</v>
      </c>
      <c r="B92" s="2" t="s">
        <v>309</v>
      </c>
      <c r="C92" s="2" t="s">
        <v>310</v>
      </c>
      <c r="D92" s="3">
        <v>46218</v>
      </c>
      <c r="E92" s="2">
        <v>5112</v>
      </c>
      <c r="F92" s="4" t="s">
        <v>232</v>
      </c>
      <c r="G92" s="2" t="s">
        <v>4</v>
      </c>
      <c r="H92" s="3">
        <v>46140</v>
      </c>
      <c r="I92" s="3" t="s">
        <v>30</v>
      </c>
      <c r="J92" s="2" t="s">
        <v>30</v>
      </c>
      <c r="K92" s="4" t="s">
        <v>30</v>
      </c>
      <c r="L92" s="4" t="s">
        <v>30</v>
      </c>
      <c r="M92" s="2" t="s">
        <v>30</v>
      </c>
      <c r="N92" s="4" t="s">
        <v>311</v>
      </c>
      <c r="O92" s="3" t="s">
        <v>30</v>
      </c>
    </row>
    <row r="93" ht="45" spans="1:15">
      <c r="A93" s="5" t="s">
        <v>313</v>
      </c>
      <c r="B93" s="5" t="s">
        <v>309</v>
      </c>
      <c r="C93" s="5" t="s">
        <v>314</v>
      </c>
      <c r="D93" s="6">
        <v>46249</v>
      </c>
      <c r="E93" s="5">
        <v>5113</v>
      </c>
      <c r="F93" s="7" t="s">
        <v>233</v>
      </c>
      <c r="G93" s="5" t="s">
        <v>4</v>
      </c>
      <c r="H93" s="6">
        <v>46050</v>
      </c>
      <c r="I93" s="6" t="s">
        <v>30</v>
      </c>
      <c r="J93" s="5" t="s">
        <v>30</v>
      </c>
      <c r="K93" s="7" t="s">
        <v>30</v>
      </c>
      <c r="L93" s="7" t="s">
        <v>30</v>
      </c>
      <c r="M93" s="5" t="s">
        <v>30</v>
      </c>
      <c r="N93" s="7" t="s">
        <v>311</v>
      </c>
      <c r="O93" s="6" t="s">
        <v>30</v>
      </c>
    </row>
    <row r="94" ht="45" spans="1:15">
      <c r="A94" s="5" t="s">
        <v>313</v>
      </c>
      <c r="B94" s="5" t="s">
        <v>309</v>
      </c>
      <c r="C94" s="5" t="s">
        <v>314</v>
      </c>
      <c r="D94" s="6">
        <v>46249</v>
      </c>
      <c r="E94" s="5">
        <v>5116</v>
      </c>
      <c r="F94" s="7" t="s">
        <v>182</v>
      </c>
      <c r="G94" s="5" t="s">
        <v>4</v>
      </c>
      <c r="H94" s="6">
        <v>46044</v>
      </c>
      <c r="I94" s="6" t="s">
        <v>30</v>
      </c>
      <c r="J94" s="5" t="s">
        <v>30</v>
      </c>
      <c r="K94" s="7" t="s">
        <v>30</v>
      </c>
      <c r="L94" s="7" t="s">
        <v>30</v>
      </c>
      <c r="M94" s="5" t="s">
        <v>30</v>
      </c>
      <c r="N94" s="7" t="s">
        <v>311</v>
      </c>
      <c r="O94" s="6" t="s">
        <v>30</v>
      </c>
    </row>
    <row r="95" ht="45" spans="1:15">
      <c r="A95" s="2" t="s">
        <v>308</v>
      </c>
      <c r="B95" s="2" t="s">
        <v>309</v>
      </c>
      <c r="C95" s="2" t="s">
        <v>312</v>
      </c>
      <c r="D95" s="3">
        <v>46280</v>
      </c>
      <c r="E95" s="2">
        <v>5117</v>
      </c>
      <c r="F95" s="4" t="s">
        <v>236</v>
      </c>
      <c r="G95" s="2" t="s">
        <v>4</v>
      </c>
      <c r="H95" s="3">
        <v>46111</v>
      </c>
      <c r="I95" s="3" t="s">
        <v>30</v>
      </c>
      <c r="J95" s="2" t="s">
        <v>30</v>
      </c>
      <c r="K95" s="4" t="s">
        <v>30</v>
      </c>
      <c r="L95" s="4" t="s">
        <v>30</v>
      </c>
      <c r="M95" s="2" t="s">
        <v>30</v>
      </c>
      <c r="N95" s="4" t="s">
        <v>311</v>
      </c>
      <c r="O95" s="3" t="s">
        <v>30</v>
      </c>
    </row>
    <row r="96" ht="45" spans="1:15">
      <c r="A96" s="2" t="s">
        <v>308</v>
      </c>
      <c r="B96" s="2" t="s">
        <v>309</v>
      </c>
      <c r="C96" s="2" t="s">
        <v>310</v>
      </c>
      <c r="D96" s="3">
        <v>46218</v>
      </c>
      <c r="E96" s="2">
        <v>5118</v>
      </c>
      <c r="F96" s="4" t="s">
        <v>237</v>
      </c>
      <c r="G96" s="2" t="s">
        <v>4</v>
      </c>
      <c r="H96" s="3">
        <v>46111</v>
      </c>
      <c r="I96" s="3" t="s">
        <v>30</v>
      </c>
      <c r="J96" s="2" t="s">
        <v>30</v>
      </c>
      <c r="K96" s="4" t="s">
        <v>30</v>
      </c>
      <c r="L96" s="4" t="s">
        <v>30</v>
      </c>
      <c r="M96" s="2" t="s">
        <v>30</v>
      </c>
      <c r="N96" s="4" t="s">
        <v>311</v>
      </c>
      <c r="O96" s="3" t="s">
        <v>30</v>
      </c>
    </row>
    <row r="97" ht="45" spans="1:15">
      <c r="A97" s="2" t="s">
        <v>308</v>
      </c>
      <c r="B97" s="2" t="s">
        <v>309</v>
      </c>
      <c r="C97" s="2" t="s">
        <v>312</v>
      </c>
      <c r="D97" s="3">
        <v>46280</v>
      </c>
      <c r="E97" s="2">
        <v>5120</v>
      </c>
      <c r="F97" s="4" t="s">
        <v>240</v>
      </c>
      <c r="G97" s="2" t="s">
        <v>4</v>
      </c>
      <c r="H97" s="3">
        <v>46140</v>
      </c>
      <c r="I97" s="3" t="s">
        <v>30</v>
      </c>
      <c r="J97" s="2" t="s">
        <v>30</v>
      </c>
      <c r="K97" s="4" t="s">
        <v>30</v>
      </c>
      <c r="L97" s="4" t="s">
        <v>30</v>
      </c>
      <c r="M97" s="2" t="s">
        <v>30</v>
      </c>
      <c r="N97" s="4" t="s">
        <v>311</v>
      </c>
      <c r="O97" s="3" t="s">
        <v>30</v>
      </c>
    </row>
    <row r="98" ht="45" spans="1:15">
      <c r="A98" s="2" t="s">
        <v>308</v>
      </c>
      <c r="B98" s="2" t="s">
        <v>309</v>
      </c>
      <c r="C98" s="2" t="s">
        <v>310</v>
      </c>
      <c r="D98" s="3">
        <v>46218</v>
      </c>
      <c r="E98" s="2">
        <v>5121</v>
      </c>
      <c r="F98" s="4" t="s">
        <v>241</v>
      </c>
      <c r="G98" s="2" t="s">
        <v>4</v>
      </c>
      <c r="H98" s="3">
        <v>46168</v>
      </c>
      <c r="I98" s="3" t="s">
        <v>30</v>
      </c>
      <c r="J98" s="2" t="s">
        <v>30</v>
      </c>
      <c r="K98" s="4" t="s">
        <v>30</v>
      </c>
      <c r="L98" s="4" t="s">
        <v>30</v>
      </c>
      <c r="M98" s="2" t="s">
        <v>30</v>
      </c>
      <c r="N98" s="4" t="s">
        <v>311</v>
      </c>
      <c r="O98" s="3" t="s">
        <v>30</v>
      </c>
    </row>
    <row r="99" ht="45" spans="1:15">
      <c r="A99" s="5" t="s">
        <v>313</v>
      </c>
      <c r="B99" s="5" t="s">
        <v>309</v>
      </c>
      <c r="C99" s="5" t="s">
        <v>314</v>
      </c>
      <c r="D99" s="6">
        <v>46249</v>
      </c>
      <c r="E99" s="5">
        <v>5122</v>
      </c>
      <c r="F99" s="7" t="s">
        <v>242</v>
      </c>
      <c r="G99" s="5" t="s">
        <v>4</v>
      </c>
      <c r="H99" s="6">
        <v>46140</v>
      </c>
      <c r="I99" s="6" t="s">
        <v>30</v>
      </c>
      <c r="J99" s="5" t="s">
        <v>30</v>
      </c>
      <c r="K99" s="7" t="s">
        <v>30</v>
      </c>
      <c r="L99" s="7" t="s">
        <v>30</v>
      </c>
      <c r="M99" s="5" t="s">
        <v>30</v>
      </c>
      <c r="N99" s="7" t="s">
        <v>311</v>
      </c>
      <c r="O99" s="6" t="s">
        <v>30</v>
      </c>
    </row>
    <row r="100" ht="45" spans="1:15">
      <c r="A100" s="2" t="s">
        <v>308</v>
      </c>
      <c r="B100" s="2" t="s">
        <v>309</v>
      </c>
      <c r="C100" s="2" t="s">
        <v>312</v>
      </c>
      <c r="D100" s="3">
        <v>46280</v>
      </c>
      <c r="E100" s="2">
        <v>5123</v>
      </c>
      <c r="F100" s="4" t="s">
        <v>243</v>
      </c>
      <c r="G100" s="2" t="s">
        <v>4</v>
      </c>
      <c r="H100" s="3">
        <v>46140</v>
      </c>
      <c r="I100" s="3" t="s">
        <v>30</v>
      </c>
      <c r="J100" s="2" t="s">
        <v>30</v>
      </c>
      <c r="K100" s="4" t="s">
        <v>30</v>
      </c>
      <c r="L100" s="4" t="s">
        <v>30</v>
      </c>
      <c r="M100" s="2" t="s">
        <v>30</v>
      </c>
      <c r="N100" s="4" t="s">
        <v>311</v>
      </c>
      <c r="O100" s="3" t="s">
        <v>30</v>
      </c>
    </row>
    <row r="101" ht="45" spans="1:15">
      <c r="A101" s="2" t="s">
        <v>308</v>
      </c>
      <c r="B101" s="2" t="s">
        <v>309</v>
      </c>
      <c r="C101" s="2" t="s">
        <v>310</v>
      </c>
      <c r="D101" s="3">
        <v>46218</v>
      </c>
      <c r="E101" s="2">
        <v>5124</v>
      </c>
      <c r="F101" s="4" t="s">
        <v>244</v>
      </c>
      <c r="G101" s="2" t="s">
        <v>4</v>
      </c>
      <c r="H101" s="3">
        <v>46140</v>
      </c>
      <c r="I101" s="3" t="s">
        <v>30</v>
      </c>
      <c r="J101" s="2" t="s">
        <v>30</v>
      </c>
      <c r="K101" s="4" t="s">
        <v>30</v>
      </c>
      <c r="L101" s="4" t="s">
        <v>30</v>
      </c>
      <c r="M101" s="2" t="s">
        <v>30</v>
      </c>
      <c r="N101" s="4" t="s">
        <v>311</v>
      </c>
      <c r="O101" s="3" t="s">
        <v>30</v>
      </c>
    </row>
    <row r="102" ht="45" spans="1:15">
      <c r="A102" s="5" t="s">
        <v>313</v>
      </c>
      <c r="B102" s="5" t="s">
        <v>309</v>
      </c>
      <c r="C102" s="5" t="s">
        <v>314</v>
      </c>
      <c r="D102" s="6">
        <v>46249</v>
      </c>
      <c r="E102" s="5">
        <v>5125</v>
      </c>
      <c r="F102" s="7" t="s">
        <v>245</v>
      </c>
      <c r="G102" s="5" t="s">
        <v>4</v>
      </c>
      <c r="H102" s="6">
        <v>46111</v>
      </c>
      <c r="I102" s="6" t="s">
        <v>30</v>
      </c>
      <c r="J102" s="5" t="s">
        <v>30</v>
      </c>
      <c r="K102" s="7" t="s">
        <v>30</v>
      </c>
      <c r="L102" s="7" t="s">
        <v>30</v>
      </c>
      <c r="M102" s="5" t="s">
        <v>30</v>
      </c>
      <c r="N102" s="7" t="s">
        <v>311</v>
      </c>
      <c r="O102" s="6" t="s">
        <v>30</v>
      </c>
    </row>
    <row r="103" ht="45" spans="1:15">
      <c r="A103" s="2" t="s">
        <v>308</v>
      </c>
      <c r="B103" s="2" t="s">
        <v>309</v>
      </c>
      <c r="C103" s="2" t="s">
        <v>312</v>
      </c>
      <c r="D103" s="3">
        <v>46280</v>
      </c>
      <c r="E103" s="2">
        <v>5126</v>
      </c>
      <c r="F103" s="4" t="s">
        <v>246</v>
      </c>
      <c r="G103" s="2" t="s">
        <v>4</v>
      </c>
      <c r="H103" s="3">
        <v>46140</v>
      </c>
      <c r="I103" s="3" t="s">
        <v>30</v>
      </c>
      <c r="J103" s="2" t="s">
        <v>30</v>
      </c>
      <c r="K103" s="4" t="s">
        <v>30</v>
      </c>
      <c r="L103" s="4" t="s">
        <v>30</v>
      </c>
      <c r="M103" s="2" t="s">
        <v>30</v>
      </c>
      <c r="N103" s="4" t="s">
        <v>311</v>
      </c>
      <c r="O103" s="3" t="s">
        <v>30</v>
      </c>
    </row>
    <row r="104" ht="45" spans="1:15">
      <c r="A104" s="2" t="s">
        <v>308</v>
      </c>
      <c r="B104" s="2" t="s">
        <v>309</v>
      </c>
      <c r="C104" s="2" t="s">
        <v>310</v>
      </c>
      <c r="D104" s="3">
        <v>46218</v>
      </c>
      <c r="E104" s="2">
        <v>5127</v>
      </c>
      <c r="F104" s="4" t="s">
        <v>247</v>
      </c>
      <c r="G104" s="2" t="s">
        <v>4</v>
      </c>
      <c r="H104" s="3">
        <v>46111</v>
      </c>
      <c r="I104" s="3" t="s">
        <v>30</v>
      </c>
      <c r="J104" s="2" t="s">
        <v>30</v>
      </c>
      <c r="K104" s="4" t="s">
        <v>30</v>
      </c>
      <c r="L104" s="4" t="s">
        <v>30</v>
      </c>
      <c r="M104" s="2" t="s">
        <v>30</v>
      </c>
      <c r="N104" s="4" t="s">
        <v>311</v>
      </c>
      <c r="O104" s="3" t="s">
        <v>30</v>
      </c>
    </row>
    <row r="105" ht="45" spans="1:15">
      <c r="A105" s="5" t="s">
        <v>313</v>
      </c>
      <c r="B105" s="5" t="s">
        <v>309</v>
      </c>
      <c r="C105" s="5" t="s">
        <v>314</v>
      </c>
      <c r="D105" s="6">
        <v>46249</v>
      </c>
      <c r="E105" s="5">
        <v>5128</v>
      </c>
      <c r="F105" s="7" t="s">
        <v>183</v>
      </c>
      <c r="G105" s="5" t="s">
        <v>4</v>
      </c>
      <c r="H105" s="6">
        <v>46111</v>
      </c>
      <c r="I105" s="6" t="s">
        <v>30</v>
      </c>
      <c r="J105" s="5" t="s">
        <v>30</v>
      </c>
      <c r="K105" s="7" t="s">
        <v>30</v>
      </c>
      <c r="L105" s="7" t="s">
        <v>30</v>
      </c>
      <c r="M105" s="5" t="s">
        <v>30</v>
      </c>
      <c r="N105" s="7" t="s">
        <v>311</v>
      </c>
      <c r="O105" s="6" t="s">
        <v>30</v>
      </c>
    </row>
    <row r="106" ht="45" spans="1:15">
      <c r="A106" s="2" t="s">
        <v>308</v>
      </c>
      <c r="B106" s="2" t="s">
        <v>309</v>
      </c>
      <c r="C106" s="2" t="s">
        <v>310</v>
      </c>
      <c r="D106" s="3">
        <v>46218</v>
      </c>
      <c r="E106" s="2">
        <v>5130</v>
      </c>
      <c r="F106" s="4" t="s">
        <v>249</v>
      </c>
      <c r="G106" s="2" t="s">
        <v>4</v>
      </c>
      <c r="H106" s="3">
        <v>46111</v>
      </c>
      <c r="I106" s="3" t="s">
        <v>30</v>
      </c>
      <c r="J106" s="2" t="s">
        <v>30</v>
      </c>
      <c r="K106" s="4" t="s">
        <v>30</v>
      </c>
      <c r="L106" s="4" t="s">
        <v>30</v>
      </c>
      <c r="M106" s="2" t="s">
        <v>30</v>
      </c>
      <c r="N106" s="4" t="s">
        <v>311</v>
      </c>
      <c r="O106" s="3" t="s">
        <v>30</v>
      </c>
    </row>
    <row r="107" ht="45" spans="1:15">
      <c r="A107" s="2" t="s">
        <v>308</v>
      </c>
      <c r="B107" s="2" t="s">
        <v>309</v>
      </c>
      <c r="C107" s="2" t="s">
        <v>310</v>
      </c>
      <c r="D107" s="3">
        <v>46218</v>
      </c>
      <c r="E107" s="2">
        <v>5133</v>
      </c>
      <c r="F107" s="4" t="s">
        <v>253</v>
      </c>
      <c r="G107" s="2" t="s">
        <v>4</v>
      </c>
      <c r="H107" s="3">
        <v>46234</v>
      </c>
      <c r="I107" s="3" t="s">
        <v>30</v>
      </c>
      <c r="J107" s="2" t="s">
        <v>30</v>
      </c>
      <c r="K107" s="4" t="s">
        <v>30</v>
      </c>
      <c r="L107" s="4" t="s">
        <v>30</v>
      </c>
      <c r="M107" s="2" t="s">
        <v>30</v>
      </c>
      <c r="N107" s="4" t="s">
        <v>311</v>
      </c>
      <c r="O107" s="3" t="s">
        <v>30</v>
      </c>
    </row>
    <row r="108" ht="45" spans="1:15">
      <c r="A108" s="2" t="s">
        <v>308</v>
      </c>
      <c r="B108" s="2" t="s">
        <v>309</v>
      </c>
      <c r="C108" s="2" t="s">
        <v>310</v>
      </c>
      <c r="D108" s="3">
        <v>46218</v>
      </c>
      <c r="E108" s="2">
        <v>5136</v>
      </c>
      <c r="F108" s="4" t="s">
        <v>256</v>
      </c>
      <c r="G108" s="2" t="s">
        <v>4</v>
      </c>
      <c r="H108" s="3">
        <v>46168</v>
      </c>
      <c r="I108" s="3" t="s">
        <v>30</v>
      </c>
      <c r="J108" s="2" t="s">
        <v>30</v>
      </c>
      <c r="K108" s="4" t="s">
        <v>30</v>
      </c>
      <c r="L108" s="4" t="s">
        <v>30</v>
      </c>
      <c r="M108" s="2" t="s">
        <v>30</v>
      </c>
      <c r="N108" s="4" t="s">
        <v>311</v>
      </c>
      <c r="O108" s="3" t="s">
        <v>30</v>
      </c>
    </row>
    <row r="109" ht="45" spans="1:15">
      <c r="A109" s="5" t="s">
        <v>313</v>
      </c>
      <c r="B109" s="5" t="s">
        <v>309</v>
      </c>
      <c r="C109" s="5" t="s">
        <v>314</v>
      </c>
      <c r="D109" s="6">
        <v>46249</v>
      </c>
      <c r="E109" s="5">
        <v>5137</v>
      </c>
      <c r="F109" s="7" t="s">
        <v>257</v>
      </c>
      <c r="G109" s="5" t="s">
        <v>4</v>
      </c>
      <c r="H109" s="6">
        <v>46168</v>
      </c>
      <c r="I109" s="6" t="s">
        <v>30</v>
      </c>
      <c r="J109" s="5" t="s">
        <v>30</v>
      </c>
      <c r="K109" s="7" t="s">
        <v>30</v>
      </c>
      <c r="L109" s="7" t="s">
        <v>30</v>
      </c>
      <c r="M109" s="5" t="s">
        <v>30</v>
      </c>
      <c r="N109" s="7" t="s">
        <v>311</v>
      </c>
      <c r="O109" s="6" t="s">
        <v>30</v>
      </c>
    </row>
    <row r="110" ht="45" spans="1:15">
      <c r="A110" s="2" t="s">
        <v>308</v>
      </c>
      <c r="B110" s="2" t="s">
        <v>309</v>
      </c>
      <c r="C110" s="2" t="s">
        <v>310</v>
      </c>
      <c r="D110" s="3">
        <v>46218</v>
      </c>
      <c r="E110" s="2">
        <v>5139</v>
      </c>
      <c r="F110" s="4" t="s">
        <v>259</v>
      </c>
      <c r="G110" s="2" t="s">
        <v>4</v>
      </c>
      <c r="H110" s="3">
        <v>46265</v>
      </c>
      <c r="I110" s="3" t="s">
        <v>30</v>
      </c>
      <c r="J110" s="2" t="s">
        <v>30</v>
      </c>
      <c r="K110" s="4" t="s">
        <v>30</v>
      </c>
      <c r="L110" s="4" t="s">
        <v>30</v>
      </c>
      <c r="M110" s="2" t="s">
        <v>30</v>
      </c>
      <c r="N110" s="4" t="s">
        <v>311</v>
      </c>
      <c r="O110" s="3" t="s">
        <v>30</v>
      </c>
    </row>
    <row r="111" ht="45" spans="1:15">
      <c r="A111" s="5" t="s">
        <v>313</v>
      </c>
      <c r="B111" s="5" t="s">
        <v>309</v>
      </c>
      <c r="C111" s="5" t="s">
        <v>314</v>
      </c>
      <c r="D111" s="6">
        <v>46249</v>
      </c>
      <c r="E111" s="5">
        <v>5140</v>
      </c>
      <c r="F111" s="7" t="s">
        <v>260</v>
      </c>
      <c r="G111" s="5" t="s">
        <v>4</v>
      </c>
      <c r="H111" s="6">
        <v>46234</v>
      </c>
      <c r="I111" s="6" t="s">
        <v>30</v>
      </c>
      <c r="J111" s="5" t="s">
        <v>30</v>
      </c>
      <c r="K111" s="7" t="s">
        <v>30</v>
      </c>
      <c r="L111" s="7" t="s">
        <v>30</v>
      </c>
      <c r="M111" s="5" t="s">
        <v>30</v>
      </c>
      <c r="N111" s="7" t="s">
        <v>311</v>
      </c>
      <c r="O111" s="6" t="s">
        <v>30</v>
      </c>
    </row>
    <row r="112" ht="45" spans="1:15">
      <c r="A112" s="5" t="s">
        <v>313</v>
      </c>
      <c r="B112" s="5" t="s">
        <v>309</v>
      </c>
      <c r="C112" s="5" t="s">
        <v>314</v>
      </c>
      <c r="D112" s="6">
        <v>46249</v>
      </c>
      <c r="E112" s="5">
        <v>5146</v>
      </c>
      <c r="F112" s="7" t="s">
        <v>266</v>
      </c>
      <c r="G112" s="5" t="s">
        <v>4</v>
      </c>
      <c r="H112" s="6">
        <v>46234</v>
      </c>
      <c r="I112" s="6" t="s">
        <v>30</v>
      </c>
      <c r="J112" s="5" t="s">
        <v>30</v>
      </c>
      <c r="K112" s="7" t="s">
        <v>30</v>
      </c>
      <c r="L112" s="7" t="s">
        <v>30</v>
      </c>
      <c r="M112" s="5" t="s">
        <v>30</v>
      </c>
      <c r="N112" s="7" t="s">
        <v>311</v>
      </c>
      <c r="O112" s="6" t="s">
        <v>30</v>
      </c>
    </row>
    <row r="113" ht="45" spans="1:15">
      <c r="A113" s="2" t="s">
        <v>308</v>
      </c>
      <c r="B113" s="2" t="s">
        <v>309</v>
      </c>
      <c r="C113" s="2" t="s">
        <v>312</v>
      </c>
      <c r="D113" s="3">
        <v>46280</v>
      </c>
      <c r="E113" s="2">
        <v>5153</v>
      </c>
      <c r="F113" s="4" t="s">
        <v>273</v>
      </c>
      <c r="G113" s="2" t="s">
        <v>4</v>
      </c>
      <c r="H113" s="3">
        <v>46234</v>
      </c>
      <c r="I113" s="3" t="s">
        <v>30</v>
      </c>
      <c r="J113" s="2" t="s">
        <v>30</v>
      </c>
      <c r="K113" s="4" t="s">
        <v>30</v>
      </c>
      <c r="L113" s="4" t="s">
        <v>30</v>
      </c>
      <c r="M113" s="2" t="s">
        <v>30</v>
      </c>
      <c r="N113" s="4" t="s">
        <v>311</v>
      </c>
      <c r="O113" s="3" t="s">
        <v>30</v>
      </c>
    </row>
    <row r="114" ht="45" spans="1:15">
      <c r="A114" s="2" t="s">
        <v>308</v>
      </c>
      <c r="B114" s="2" t="s">
        <v>309</v>
      </c>
      <c r="C114" s="2" t="s">
        <v>312</v>
      </c>
      <c r="D114" s="3">
        <v>46280</v>
      </c>
      <c r="E114" s="2">
        <v>5165</v>
      </c>
      <c r="F114" s="4" t="s">
        <v>256</v>
      </c>
      <c r="G114" s="2" t="s">
        <v>4</v>
      </c>
      <c r="H114" s="3">
        <v>46245</v>
      </c>
      <c r="I114" s="3" t="s">
        <v>30</v>
      </c>
      <c r="J114" s="2" t="s">
        <v>30</v>
      </c>
      <c r="K114" s="4" t="s">
        <v>30</v>
      </c>
      <c r="L114" s="4" t="s">
        <v>30</v>
      </c>
      <c r="M114" s="2" t="s">
        <v>30</v>
      </c>
      <c r="N114" s="4" t="s">
        <v>311</v>
      </c>
      <c r="O114" s="3" t="s">
        <v>30</v>
      </c>
    </row>
  </sheetData>
  <autoFilter xmlns:etc="http://www.wps.cn/officeDocument/2017/etCustomData" ref="A1:O1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Overall Summary</vt:lpstr>
      <vt:lpstr>Year on Year Analysis</vt:lpstr>
      <vt:lpstr>Monthly Metrics</vt:lpstr>
      <vt:lpstr>Latest Month</vt:lpstr>
      <vt:lpstr>Projects</vt:lpstr>
      <vt:lpstr>Quarterly Followup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Dusa</cp:lastModifiedBy>
  <dcterms:created xsi:type="dcterms:W3CDTF">2026-09-18T10:01:00Z</dcterms:created>
  <dcterms:modified xsi:type="dcterms:W3CDTF">2026-09-18T11:14:39Z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9EB60CFAF316484F8B4AF5768B2229D9_12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